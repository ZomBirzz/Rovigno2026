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ikac\OneDrive\Documents\Documents\Università Bologna\Didattica\Laboratorio sperimentale in mare\Datasets\"/>
    </mc:Choice>
  </mc:AlternateContent>
  <xr:revisionPtr revIDLastSave="0" documentId="13_ncr:1_{3CD57869-5FDC-4625-8085-93CB34A268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2" i="1"/>
</calcChain>
</file>

<file path=xl/sharedStrings.xml><?xml version="1.0" encoding="utf-8"?>
<sst xmlns="http://schemas.openxmlformats.org/spreadsheetml/2006/main" count="268" uniqueCount="95">
  <si>
    <t>SITE</t>
  </si>
  <si>
    <t>REPLICA</t>
  </si>
  <si>
    <t>Dichtyota dicotoma</t>
  </si>
  <si>
    <t>Padina pavonica</t>
  </si>
  <si>
    <t>Osmundea pinnatifida</t>
  </si>
  <si>
    <t>Laurencia obtusa</t>
  </si>
  <si>
    <t>Halimeda tuna</t>
  </si>
  <si>
    <t>Acetabularia acetabulum</t>
  </si>
  <si>
    <t>Corallinaceae</t>
  </si>
  <si>
    <t>Halopteris scoparia</t>
  </si>
  <si>
    <t>Amphiroa rigida</t>
  </si>
  <si>
    <t>Codium bursa</t>
  </si>
  <si>
    <t>Spongia officinalis</t>
  </si>
  <si>
    <t>Aplysina aerophoba</t>
  </si>
  <si>
    <t>Roccia detrito</t>
  </si>
  <si>
    <t>Elena Manfredini</t>
  </si>
  <si>
    <t>A</t>
  </si>
  <si>
    <t>Serena Ghirlandi</t>
  </si>
  <si>
    <t>Michael Casadei</t>
  </si>
  <si>
    <t>Tommaso Pasolini</t>
  </si>
  <si>
    <t>Giorgia Marzolla</t>
  </si>
  <si>
    <t>Viviana Russo</t>
  </si>
  <si>
    <t>Martina Rimondini</t>
  </si>
  <si>
    <t>Margherita Magnani</t>
  </si>
  <si>
    <t>Francesca Rimini</t>
  </si>
  <si>
    <t>Alex Baggio Morano</t>
  </si>
  <si>
    <t>Simone De Caprio</t>
  </si>
  <si>
    <t xml:space="preserve">Laura Bronzetti </t>
  </si>
  <si>
    <t>Camilla Campacci</t>
  </si>
  <si>
    <t>Chiara Frigieri</t>
  </si>
  <si>
    <t>Giada Bernardini</t>
  </si>
  <si>
    <t>Ilaria Palmeggiani</t>
  </si>
  <si>
    <t>B</t>
  </si>
  <si>
    <t>Simona Salandra</t>
  </si>
  <si>
    <t>Valentina Leone</t>
  </si>
  <si>
    <t>Lorenzo Beltramini</t>
  </si>
  <si>
    <t>Alessandra Leanza</t>
  </si>
  <si>
    <t>Sara Belas</t>
  </si>
  <si>
    <t>Gabriella Bifulco</t>
  </si>
  <si>
    <t>Barbara Vicinanza</t>
  </si>
  <si>
    <t>Simone Savi</t>
  </si>
  <si>
    <t>0.5</t>
  </si>
  <si>
    <t>Dario Lombardi</t>
  </si>
  <si>
    <t>Stefano Orlandini</t>
  </si>
  <si>
    <t>Alice Fedele</t>
  </si>
  <si>
    <t>Vittoria Zuccarini</t>
  </si>
  <si>
    <t>Teresa Bonacci</t>
  </si>
  <si>
    <t>Bianca Marzano</t>
  </si>
  <si>
    <t>C</t>
  </si>
  <si>
    <t>Matilde Leonelli</t>
  </si>
  <si>
    <t>Sofia Ghione</t>
  </si>
  <si>
    <t>Matilde Fracassi</t>
  </si>
  <si>
    <t>Camilla Croci</t>
  </si>
  <si>
    <t>Jessica De Sabbata</t>
  </si>
  <si>
    <t>Maria Aurora Iorfino</t>
  </si>
  <si>
    <t>Lorenza Ciarcia</t>
  </si>
  <si>
    <t>Paola Cicalese</t>
  </si>
  <si>
    <t>Giulia Guglielmelli</t>
  </si>
  <si>
    <t>Arianna Fabbri</t>
  </si>
  <si>
    <t>Chiara Tonelli</t>
  </si>
  <si>
    <t>Elettra Panarari</t>
  </si>
  <si>
    <t>0.1</t>
  </si>
  <si>
    <t>Alessandro Nicolai</t>
  </si>
  <si>
    <t>metadata</t>
  </si>
  <si>
    <t>Villas Rubin</t>
  </si>
  <si>
    <t>Sito A</t>
  </si>
  <si>
    <t>Amarin</t>
  </si>
  <si>
    <t>Sito B</t>
  </si>
  <si>
    <t>Uvala Lone</t>
  </si>
  <si>
    <t>Sito C</t>
  </si>
  <si>
    <t>Lat °N (WGS84)</t>
  </si>
  <si>
    <t>Lon °E (WGS84)</t>
  </si>
  <si>
    <t>depth</t>
  </si>
  <si>
    <t>0-1 m</t>
  </si>
  <si>
    <t>Sperimentatore</t>
  </si>
  <si>
    <r>
      <t>Gelidium</t>
    </r>
    <r>
      <rPr>
        <sz val="10"/>
        <color theme="1"/>
        <rFont val="Arial"/>
        <family val="2"/>
      </rPr>
      <t xml:space="preserve"> sp.</t>
    </r>
  </si>
  <si>
    <r>
      <t>Ulva</t>
    </r>
    <r>
      <rPr>
        <sz val="10"/>
        <color theme="1"/>
        <rFont val="Arial"/>
        <family val="2"/>
      </rPr>
      <t xml:space="preserve"> sp.</t>
    </r>
  </si>
  <si>
    <r>
      <t xml:space="preserve">Corallina </t>
    </r>
    <r>
      <rPr>
        <sz val="10"/>
        <color theme="1"/>
        <rFont val="Arial"/>
        <family val="2"/>
      </rPr>
      <t>sp.</t>
    </r>
  </si>
  <si>
    <r>
      <rPr>
        <b/>
        <sz val="10"/>
        <color rgb="FF000000"/>
        <rFont val="Arial"/>
        <family val="2"/>
      </rPr>
      <t>GRUPPO 1</t>
    </r>
    <r>
      <rPr>
        <sz val="10"/>
        <color rgb="FF000000"/>
        <rFont val="Arial"/>
        <family val="2"/>
      </rPr>
      <t xml:space="preserve"> </t>
    </r>
  </si>
  <si>
    <t>Paguroidea (n° individui)</t>
  </si>
  <si>
    <t>granchio (n° individui)</t>
  </si>
  <si>
    <t>nudibranchi (n° individui)</t>
  </si>
  <si>
    <t>anemone (n° individui)</t>
  </si>
  <si>
    <t>pesci (n° individui)</t>
  </si>
  <si>
    <t>Roccia nuda</t>
  </si>
  <si>
    <t>Flabellia petiolata</t>
  </si>
  <si>
    <r>
      <t xml:space="preserve">Ircinia </t>
    </r>
    <r>
      <rPr>
        <sz val="10"/>
        <color theme="1"/>
        <rFont val="Arial"/>
        <family val="2"/>
      </rPr>
      <t>sp.</t>
    </r>
  </si>
  <si>
    <t>Feltro algale</t>
  </si>
  <si>
    <t>TOTALE %</t>
  </si>
  <si>
    <t>Balanidae</t>
  </si>
  <si>
    <r>
      <t xml:space="preserve">Holothuria tubulosa </t>
    </r>
    <r>
      <rPr>
        <sz val="10"/>
        <color theme="1"/>
        <rFont val="Arial"/>
        <family val="2"/>
      </rPr>
      <t>(n° individui)</t>
    </r>
  </si>
  <si>
    <r>
      <t xml:space="preserve">Mytilus galloprovincialis </t>
    </r>
    <r>
      <rPr>
        <sz val="10"/>
        <color theme="1"/>
        <rFont val="Arial"/>
        <family val="2"/>
      </rPr>
      <t>(n° individui)</t>
    </r>
  </si>
  <si>
    <r>
      <t xml:space="preserve">Hexaplex trunculus </t>
    </r>
    <r>
      <rPr>
        <sz val="10"/>
        <color theme="1"/>
        <rFont val="Arial"/>
        <family val="2"/>
      </rPr>
      <t>(n° individui)</t>
    </r>
  </si>
  <si>
    <r>
      <t>Conus</t>
    </r>
    <r>
      <rPr>
        <sz val="10"/>
        <color theme="1"/>
        <rFont val="Arial"/>
        <family val="2"/>
      </rPr>
      <t xml:space="preserve"> sp. e </t>
    </r>
    <r>
      <rPr>
        <i/>
        <sz val="10"/>
        <color theme="1"/>
        <rFont val="Arial"/>
        <family val="2"/>
      </rPr>
      <t xml:space="preserve">Phorcus </t>
    </r>
    <r>
      <rPr>
        <sz val="10"/>
        <color theme="1"/>
        <rFont val="Arial"/>
        <family val="2"/>
      </rPr>
      <t>sp. (n° individui)</t>
    </r>
  </si>
  <si>
    <t>Patella caerulea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</si>
</sst>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rgb="FF000000"/>
      <name val="Calibri"/>
    </font>
    <font>
      <sz val="11"/>
      <color rgb="FFFF0000"/>
      <name val="Calibri"/>
    </font>
    <font>
      <sz val="10"/>
      <color rgb="FF000000"/>
      <name val="Arial"/>
    </font>
    <font>
      <sz val="11"/>
      <color rgb="FF000000"/>
      <name val="Calibri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3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/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0" fontId="8" fillId="0" borderId="0" xfId="0" applyFont="1" applyAlignment="1">
      <alignment horizontal="right"/>
    </xf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/>
    <xf numFmtId="0" fontId="7" fillId="0" borderId="0" xfId="0" applyFont="1" applyAlignment="1">
      <alignment horizontal="center"/>
    </xf>
    <xf numFmtId="0" fontId="7" fillId="2" borderId="4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12" fillId="0" borderId="2" xfId="0" applyFont="1" applyBorder="1"/>
    <xf numFmtId="0" fontId="11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/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10" fillId="0" borderId="2" xfId="0" applyFont="1" applyBorder="1"/>
    <xf numFmtId="0" fontId="7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7" fillId="0" borderId="3" xfId="1" applyFont="1" applyAlignment="1">
      <alignment horizontal="center"/>
    </xf>
    <xf numFmtId="0" fontId="7" fillId="2" borderId="3" xfId="1" applyFont="1" applyFill="1" applyAlignment="1">
      <alignment horizontal="center"/>
    </xf>
    <xf numFmtId="0" fontId="10" fillId="0" borderId="3" xfId="1" applyFont="1"/>
    <xf numFmtId="0" fontId="7" fillId="0" borderId="3" xfId="1" applyFont="1" applyAlignment="1">
      <alignment horizontal="left"/>
    </xf>
    <xf numFmtId="0" fontId="7" fillId="0" borderId="3" xfId="1" applyFont="1"/>
    <xf numFmtId="0" fontId="10" fillId="0" borderId="2" xfId="0" applyFont="1" applyBorder="1" applyAlignment="1">
      <alignment horizontal="left"/>
    </xf>
  </cellXfs>
  <cellStyles count="2">
    <cellStyle name="Normal" xfId="0" builtinId="0"/>
    <cellStyle name="Normal 2" xfId="1" xr:uid="{3FB0B268-9A70-4AD8-B9E0-100659A379D9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77"/>
  <sheetViews>
    <sheetView tabSelected="1" workbookViewId="0">
      <pane ySplit="1" topLeftCell="A2" activePane="bottomLeft" state="frozen"/>
      <selection pane="bottomLeft" activeCell="W92" sqref="W92"/>
    </sheetView>
  </sheetViews>
  <sheetFormatPr defaultColWidth="14.453125" defaultRowHeight="15" customHeight="1" x14ac:dyDescent="0.25"/>
  <cols>
    <col min="1" max="1" width="18" style="7" customWidth="1"/>
    <col min="2" max="2" width="14.81640625" style="7" customWidth="1"/>
    <col min="3" max="3" width="6.453125" style="7" customWidth="1"/>
    <col min="4" max="4" width="9.453125" style="7" customWidth="1"/>
    <col min="5" max="5" width="15.7265625" style="7" customWidth="1"/>
    <col min="6" max="6" width="13.81640625" style="7" customWidth="1"/>
    <col min="7" max="7" width="13.7265625" style="7" customWidth="1"/>
    <col min="8" max="8" width="12.453125" style="7" customWidth="1"/>
    <col min="9" max="9" width="13" style="7" customWidth="1"/>
    <col min="10" max="10" width="16.26953125" style="7" customWidth="1"/>
    <col min="11" max="11" width="14.08984375" style="7" customWidth="1"/>
    <col min="12" max="12" width="10.7265625" style="7" customWidth="1"/>
    <col min="13" max="13" width="12.453125" style="7" customWidth="1"/>
    <col min="14" max="14" width="16.7265625" style="7" customWidth="1"/>
    <col min="15" max="15" width="14.453125" style="7" customWidth="1"/>
    <col min="16" max="16" width="18.26953125" style="7" customWidth="1"/>
    <col min="17" max="17" width="13.7265625" style="7" customWidth="1"/>
    <col min="18" max="18" width="9.453125" style="7" customWidth="1"/>
    <col min="19" max="19" width="8.26953125" style="7" customWidth="1"/>
    <col min="20" max="20" width="13" style="7" customWidth="1"/>
    <col min="21" max="21" width="14.81640625" style="7" customWidth="1"/>
    <col min="22" max="22" width="18" style="7" customWidth="1"/>
    <col min="23" max="23" width="13.54296875" style="7" customWidth="1"/>
    <col min="24" max="24" width="8.81640625" style="7" customWidth="1"/>
    <col min="25" max="25" width="12.453125" style="7" customWidth="1"/>
    <col min="26" max="26" width="11.7265625" style="7" customWidth="1"/>
    <col min="27" max="28" width="8.81640625" style="7" customWidth="1"/>
    <col min="29" max="29" width="10.81640625" style="7" customWidth="1"/>
    <col min="30" max="30" width="10.08984375" style="7" customWidth="1"/>
    <col min="31" max="31" width="10.81640625" style="7" customWidth="1"/>
    <col min="32" max="32" width="12.08984375" style="7" customWidth="1"/>
    <col min="33" max="37" width="10.81640625" style="7" customWidth="1"/>
    <col min="38" max="16384" width="14.453125" style="7"/>
  </cols>
  <sheetData>
    <row r="1" spans="1:37" ht="17" customHeight="1" x14ac:dyDescent="0.3">
      <c r="A1" s="23" t="s">
        <v>74</v>
      </c>
      <c r="B1" s="24" t="s">
        <v>78</v>
      </c>
      <c r="C1" s="25" t="s">
        <v>0</v>
      </c>
      <c r="D1" s="25" t="s">
        <v>1</v>
      </c>
      <c r="E1" s="42" t="s">
        <v>7</v>
      </c>
      <c r="F1" s="12" t="s">
        <v>10</v>
      </c>
      <c r="G1" s="12" t="s">
        <v>11</v>
      </c>
      <c r="H1" s="12" t="s">
        <v>77</v>
      </c>
      <c r="I1" s="14" t="s">
        <v>8</v>
      </c>
      <c r="J1" s="12" t="s">
        <v>2</v>
      </c>
      <c r="K1" s="12" t="s">
        <v>85</v>
      </c>
      <c r="L1" s="12" t="s">
        <v>75</v>
      </c>
      <c r="M1" s="12" t="s">
        <v>6</v>
      </c>
      <c r="N1" s="12" t="s">
        <v>9</v>
      </c>
      <c r="O1" s="12" t="s">
        <v>5</v>
      </c>
      <c r="P1" s="12" t="s">
        <v>4</v>
      </c>
      <c r="Q1" s="12" t="s">
        <v>3</v>
      </c>
      <c r="R1" s="12" t="s">
        <v>76</v>
      </c>
      <c r="S1" s="31" t="s">
        <v>87</v>
      </c>
      <c r="T1" s="13" t="s">
        <v>13</v>
      </c>
      <c r="U1" s="12" t="s">
        <v>86</v>
      </c>
      <c r="V1" s="13" t="s">
        <v>12</v>
      </c>
      <c r="W1" s="33" t="s">
        <v>94</v>
      </c>
      <c r="X1" s="7" t="s">
        <v>89</v>
      </c>
      <c r="Y1" s="14" t="s">
        <v>14</v>
      </c>
      <c r="Z1" s="14" t="s">
        <v>84</v>
      </c>
      <c r="AA1" s="36" t="s">
        <v>88</v>
      </c>
      <c r="AB1" s="36"/>
      <c r="AC1" s="33" t="s">
        <v>93</v>
      </c>
      <c r="AD1" s="39" t="s">
        <v>92</v>
      </c>
      <c r="AE1" s="32" t="s">
        <v>81</v>
      </c>
      <c r="AF1" s="33" t="s">
        <v>91</v>
      </c>
      <c r="AG1" s="33" t="s">
        <v>90</v>
      </c>
      <c r="AH1" s="7" t="s">
        <v>80</v>
      </c>
      <c r="AI1" s="32" t="s">
        <v>79</v>
      </c>
      <c r="AJ1" s="32" t="s">
        <v>82</v>
      </c>
      <c r="AK1" s="32" t="s">
        <v>83</v>
      </c>
    </row>
    <row r="2" spans="1:37" ht="17" customHeight="1" x14ac:dyDescent="0.3">
      <c r="A2" s="15" t="s">
        <v>15</v>
      </c>
      <c r="B2" s="7">
        <v>1</v>
      </c>
      <c r="C2" s="7" t="s">
        <v>16</v>
      </c>
      <c r="D2" s="7">
        <v>1</v>
      </c>
      <c r="E2" s="16">
        <v>1</v>
      </c>
      <c r="F2" s="16">
        <v>1</v>
      </c>
      <c r="G2" s="16">
        <v>0</v>
      </c>
      <c r="H2" s="16">
        <v>0</v>
      </c>
      <c r="I2" s="16">
        <v>0</v>
      </c>
      <c r="J2" s="16">
        <v>2</v>
      </c>
      <c r="K2" s="16">
        <v>0</v>
      </c>
      <c r="L2" s="16">
        <v>0</v>
      </c>
      <c r="M2" s="16">
        <v>2</v>
      </c>
      <c r="N2" s="16">
        <v>0</v>
      </c>
      <c r="O2" s="16">
        <v>69</v>
      </c>
      <c r="P2" s="16">
        <v>0</v>
      </c>
      <c r="Q2" s="16">
        <v>3</v>
      </c>
      <c r="R2" s="16">
        <v>0</v>
      </c>
      <c r="S2" s="16">
        <v>2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23</v>
      </c>
      <c r="Z2" s="34">
        <v>0</v>
      </c>
      <c r="AA2" s="22">
        <f>SUM(E2:Z2)</f>
        <v>103</v>
      </c>
      <c r="AB2" s="22"/>
      <c r="AC2" s="16">
        <v>3</v>
      </c>
      <c r="AD2" s="37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</row>
    <row r="3" spans="1:37" ht="17" customHeight="1" x14ac:dyDescent="0.3">
      <c r="A3" s="15" t="s">
        <v>15</v>
      </c>
      <c r="B3" s="7">
        <v>1</v>
      </c>
      <c r="C3" s="7" t="s">
        <v>16</v>
      </c>
      <c r="D3" s="7">
        <v>2</v>
      </c>
      <c r="E3" s="16">
        <v>1.5</v>
      </c>
      <c r="F3" s="16">
        <v>0</v>
      </c>
      <c r="G3" s="16">
        <v>0</v>
      </c>
      <c r="H3" s="16">
        <v>0</v>
      </c>
      <c r="I3" s="16">
        <v>0</v>
      </c>
      <c r="J3" s="16">
        <v>3.5</v>
      </c>
      <c r="K3" s="16">
        <v>0</v>
      </c>
      <c r="L3" s="16">
        <v>0</v>
      </c>
      <c r="M3" s="16">
        <v>10</v>
      </c>
      <c r="N3" s="16">
        <v>0</v>
      </c>
      <c r="O3" s="16">
        <v>49</v>
      </c>
      <c r="P3" s="16">
        <v>0</v>
      </c>
      <c r="Q3" s="16">
        <v>19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26</v>
      </c>
      <c r="Z3" s="34">
        <v>0</v>
      </c>
      <c r="AA3" s="22">
        <f t="shared" ref="AA3:AA66" si="0">SUM(E3:Z3)</f>
        <v>109</v>
      </c>
      <c r="AB3" s="22"/>
      <c r="AC3" s="16">
        <v>6</v>
      </c>
      <c r="AD3" s="37">
        <v>0</v>
      </c>
      <c r="AE3" s="16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  <c r="AK3" s="16">
        <v>0</v>
      </c>
    </row>
    <row r="4" spans="1:37" ht="17" customHeight="1" x14ac:dyDescent="0.3">
      <c r="A4" s="15" t="s">
        <v>15</v>
      </c>
      <c r="B4" s="7">
        <v>1</v>
      </c>
      <c r="C4" s="7" t="s">
        <v>16</v>
      </c>
      <c r="D4" s="7">
        <v>3</v>
      </c>
      <c r="E4" s="16">
        <v>1</v>
      </c>
      <c r="F4" s="16">
        <v>0</v>
      </c>
      <c r="G4" s="16">
        <v>0</v>
      </c>
      <c r="H4" s="16">
        <v>0</v>
      </c>
      <c r="I4" s="16">
        <v>0</v>
      </c>
      <c r="J4" s="16">
        <v>8</v>
      </c>
      <c r="K4" s="16">
        <v>0</v>
      </c>
      <c r="L4" s="16">
        <v>0</v>
      </c>
      <c r="M4" s="16">
        <v>1</v>
      </c>
      <c r="N4" s="16">
        <v>0</v>
      </c>
      <c r="O4" s="16">
        <v>23</v>
      </c>
      <c r="P4" s="16">
        <v>0</v>
      </c>
      <c r="Q4" s="16">
        <v>25</v>
      </c>
      <c r="R4" s="16">
        <v>0</v>
      </c>
      <c r="S4" s="16">
        <v>10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48</v>
      </c>
      <c r="Z4" s="34">
        <v>0</v>
      </c>
      <c r="AA4" s="22">
        <f t="shared" si="0"/>
        <v>116</v>
      </c>
      <c r="AB4" s="22"/>
      <c r="AC4" s="16">
        <v>14</v>
      </c>
      <c r="AD4" s="37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1</v>
      </c>
    </row>
    <row r="5" spans="1:37" ht="17" customHeight="1" x14ac:dyDescent="0.3">
      <c r="A5" s="15" t="s">
        <v>17</v>
      </c>
      <c r="B5" s="7">
        <v>1</v>
      </c>
      <c r="C5" s="7" t="s">
        <v>16</v>
      </c>
      <c r="D5" s="7">
        <v>4</v>
      </c>
      <c r="E5" s="16">
        <v>0.2</v>
      </c>
      <c r="F5" s="16">
        <v>0</v>
      </c>
      <c r="G5" s="16">
        <v>0</v>
      </c>
      <c r="H5" s="16">
        <v>0</v>
      </c>
      <c r="I5" s="16">
        <v>0</v>
      </c>
      <c r="J5" s="16">
        <v>1</v>
      </c>
      <c r="K5" s="16">
        <v>0.2</v>
      </c>
      <c r="L5" s="16">
        <v>0</v>
      </c>
      <c r="M5" s="16">
        <v>5</v>
      </c>
      <c r="N5" s="16">
        <v>0</v>
      </c>
      <c r="O5" s="16">
        <v>27</v>
      </c>
      <c r="P5" s="16">
        <v>0</v>
      </c>
      <c r="Q5" s="16">
        <v>5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62</v>
      </c>
      <c r="Z5" s="34">
        <v>0</v>
      </c>
      <c r="AA5" s="22">
        <f t="shared" si="0"/>
        <v>100.4</v>
      </c>
      <c r="AB5" s="22"/>
      <c r="AC5" s="16">
        <v>1</v>
      </c>
      <c r="AD5" s="37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1</v>
      </c>
    </row>
    <row r="6" spans="1:37" ht="17" customHeight="1" x14ac:dyDescent="0.3">
      <c r="A6" s="15" t="s">
        <v>17</v>
      </c>
      <c r="B6" s="7">
        <v>1</v>
      </c>
      <c r="C6" s="7" t="s">
        <v>16</v>
      </c>
      <c r="D6" s="7">
        <v>5</v>
      </c>
      <c r="E6" s="16">
        <v>2.7</v>
      </c>
      <c r="F6" s="16">
        <v>10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12</v>
      </c>
      <c r="N6" s="16">
        <v>0</v>
      </c>
      <c r="O6" s="16">
        <v>28</v>
      </c>
      <c r="P6" s="16">
        <v>0</v>
      </c>
      <c r="Q6" s="16">
        <v>11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56</v>
      </c>
      <c r="Z6" s="34">
        <v>0</v>
      </c>
      <c r="AA6" s="22">
        <f t="shared" si="0"/>
        <v>119.7</v>
      </c>
      <c r="AB6" s="22"/>
      <c r="AC6" s="16">
        <v>0</v>
      </c>
      <c r="AD6" s="37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</row>
    <row r="7" spans="1:37" ht="17" customHeight="1" x14ac:dyDescent="0.3">
      <c r="A7" s="15" t="s">
        <v>18</v>
      </c>
      <c r="B7" s="7">
        <v>1</v>
      </c>
      <c r="C7" s="7" t="s">
        <v>16</v>
      </c>
      <c r="D7" s="7">
        <v>6</v>
      </c>
      <c r="E7" s="16">
        <v>0.9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30</v>
      </c>
      <c r="P7" s="16">
        <v>0</v>
      </c>
      <c r="Q7" s="16">
        <v>7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70</v>
      </c>
      <c r="Z7" s="34">
        <v>0</v>
      </c>
      <c r="AA7" s="22">
        <f t="shared" si="0"/>
        <v>107.9</v>
      </c>
      <c r="AB7" s="22"/>
      <c r="AC7" s="16">
        <v>9</v>
      </c>
      <c r="AD7" s="37">
        <v>0</v>
      </c>
      <c r="AE7" s="16">
        <v>0</v>
      </c>
      <c r="AF7" s="16">
        <v>0</v>
      </c>
      <c r="AG7" s="16">
        <v>0</v>
      </c>
      <c r="AH7" s="16">
        <v>0</v>
      </c>
      <c r="AI7" s="16">
        <v>1</v>
      </c>
      <c r="AJ7" s="16">
        <v>0</v>
      </c>
      <c r="AK7" s="16">
        <v>0</v>
      </c>
    </row>
    <row r="8" spans="1:37" ht="17" customHeight="1" x14ac:dyDescent="0.3">
      <c r="A8" s="15" t="s">
        <v>18</v>
      </c>
      <c r="B8" s="7">
        <v>1</v>
      </c>
      <c r="C8" s="7" t="s">
        <v>16</v>
      </c>
      <c r="D8" s="7">
        <v>7</v>
      </c>
      <c r="E8" s="16">
        <v>0.6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80</v>
      </c>
      <c r="P8" s="16">
        <v>0</v>
      </c>
      <c r="Q8" s="16">
        <v>2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25</v>
      </c>
      <c r="Z8" s="34">
        <v>0</v>
      </c>
      <c r="AA8" s="22">
        <f t="shared" si="0"/>
        <v>107.6</v>
      </c>
      <c r="AB8" s="22"/>
      <c r="AC8" s="16">
        <v>0</v>
      </c>
      <c r="AD8" s="37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</row>
    <row r="9" spans="1:37" ht="17" customHeight="1" x14ac:dyDescent="0.3">
      <c r="A9" s="15" t="s">
        <v>18</v>
      </c>
      <c r="B9" s="7">
        <v>1</v>
      </c>
      <c r="C9" s="7" t="s">
        <v>16</v>
      </c>
      <c r="D9" s="7">
        <v>8</v>
      </c>
      <c r="E9" s="16">
        <v>0.8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40</v>
      </c>
      <c r="P9" s="16">
        <v>0</v>
      </c>
      <c r="Q9" s="16">
        <v>30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40</v>
      </c>
      <c r="Z9" s="34">
        <v>0</v>
      </c>
      <c r="AA9" s="22">
        <f t="shared" si="0"/>
        <v>110.8</v>
      </c>
      <c r="AB9" s="22"/>
      <c r="AC9" s="16">
        <v>0</v>
      </c>
      <c r="AD9" s="37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</row>
    <row r="10" spans="1:37" ht="17" customHeight="1" x14ac:dyDescent="0.3">
      <c r="A10" s="15" t="s">
        <v>19</v>
      </c>
      <c r="B10" s="7">
        <v>1</v>
      </c>
      <c r="C10" s="7" t="s">
        <v>16</v>
      </c>
      <c r="D10" s="7">
        <v>9</v>
      </c>
      <c r="E10" s="16">
        <v>0.9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3</v>
      </c>
      <c r="O10" s="16">
        <v>25</v>
      </c>
      <c r="P10" s="16">
        <v>0</v>
      </c>
      <c r="Q10" s="16">
        <v>5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70</v>
      </c>
      <c r="Z10" s="34">
        <v>0</v>
      </c>
      <c r="AA10" s="22">
        <f t="shared" si="0"/>
        <v>103.9</v>
      </c>
      <c r="AB10" s="22"/>
      <c r="AC10" s="16">
        <v>0</v>
      </c>
      <c r="AD10" s="37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</row>
    <row r="11" spans="1:37" ht="17" customHeight="1" x14ac:dyDescent="0.3">
      <c r="A11" s="15" t="s">
        <v>19</v>
      </c>
      <c r="B11" s="7">
        <v>1</v>
      </c>
      <c r="C11" s="7" t="s">
        <v>16</v>
      </c>
      <c r="D11" s="7">
        <v>10</v>
      </c>
      <c r="E11" s="16">
        <v>0.6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6">
        <v>30</v>
      </c>
      <c r="P11" s="16">
        <v>0</v>
      </c>
      <c r="Q11" s="16">
        <v>15</v>
      </c>
      <c r="R11" s="16">
        <v>0</v>
      </c>
      <c r="S11" s="16">
        <v>10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50</v>
      </c>
      <c r="Z11" s="34">
        <v>0</v>
      </c>
      <c r="AA11" s="22">
        <f t="shared" si="0"/>
        <v>107.6</v>
      </c>
      <c r="AB11" s="22"/>
      <c r="AC11" s="16">
        <v>0</v>
      </c>
      <c r="AD11" s="37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</row>
    <row r="12" spans="1:37" ht="17" customHeight="1" x14ac:dyDescent="0.3">
      <c r="A12" s="15" t="s">
        <v>20</v>
      </c>
      <c r="B12" s="7">
        <v>1</v>
      </c>
      <c r="C12" s="7" t="s">
        <v>16</v>
      </c>
      <c r="D12" s="7">
        <v>11</v>
      </c>
      <c r="E12" s="16">
        <v>3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4</v>
      </c>
      <c r="O12" s="16">
        <v>16</v>
      </c>
      <c r="P12" s="16">
        <v>0</v>
      </c>
      <c r="Q12" s="16">
        <v>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73</v>
      </c>
      <c r="Z12" s="34">
        <v>0</v>
      </c>
      <c r="AA12" s="22">
        <f t="shared" si="0"/>
        <v>100</v>
      </c>
      <c r="AB12" s="22"/>
      <c r="AC12" s="16">
        <v>0</v>
      </c>
      <c r="AD12" s="37">
        <v>0</v>
      </c>
      <c r="AE12" s="16">
        <v>0</v>
      </c>
      <c r="AF12" s="16">
        <v>0</v>
      </c>
      <c r="AG12" s="16">
        <v>1</v>
      </c>
      <c r="AH12" s="16">
        <v>0</v>
      </c>
      <c r="AI12" s="16">
        <v>0</v>
      </c>
      <c r="AJ12" s="16">
        <v>0</v>
      </c>
      <c r="AK12" s="16">
        <v>0</v>
      </c>
    </row>
    <row r="13" spans="1:37" ht="17" customHeight="1" x14ac:dyDescent="0.3">
      <c r="A13" s="15" t="s">
        <v>20</v>
      </c>
      <c r="B13" s="7">
        <v>1</v>
      </c>
      <c r="C13" s="7" t="s">
        <v>16</v>
      </c>
      <c r="D13" s="7">
        <v>12</v>
      </c>
      <c r="E13" s="16">
        <v>2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20</v>
      </c>
      <c r="M13" s="16">
        <v>0</v>
      </c>
      <c r="N13" s="16">
        <v>3</v>
      </c>
      <c r="O13" s="16">
        <v>15</v>
      </c>
      <c r="P13" s="16">
        <v>0</v>
      </c>
      <c r="Q13" s="16">
        <v>18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45</v>
      </c>
      <c r="Z13" s="34">
        <v>0</v>
      </c>
      <c r="AA13" s="22">
        <f t="shared" si="0"/>
        <v>103</v>
      </c>
      <c r="AB13" s="22"/>
      <c r="AC13" s="16">
        <v>2</v>
      </c>
      <c r="AD13" s="37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</row>
    <row r="14" spans="1:37" ht="17" customHeight="1" x14ac:dyDescent="0.3">
      <c r="A14" s="15" t="s">
        <v>21</v>
      </c>
      <c r="B14" s="7">
        <v>1</v>
      </c>
      <c r="C14" s="7" t="s">
        <v>16</v>
      </c>
      <c r="D14" s="7">
        <v>13</v>
      </c>
      <c r="E14" s="16">
        <v>4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86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5</v>
      </c>
      <c r="V14" s="16">
        <v>0</v>
      </c>
      <c r="W14" s="16">
        <v>0</v>
      </c>
      <c r="X14" s="16">
        <v>0</v>
      </c>
      <c r="Y14" s="16">
        <v>0</v>
      </c>
      <c r="Z14" s="34">
        <v>10</v>
      </c>
      <c r="AA14" s="22">
        <f t="shared" si="0"/>
        <v>105</v>
      </c>
      <c r="AB14" s="22"/>
      <c r="AC14" s="16">
        <v>0</v>
      </c>
      <c r="AD14" s="37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</row>
    <row r="15" spans="1:37" ht="17" customHeight="1" x14ac:dyDescent="0.3">
      <c r="A15" s="15" t="s">
        <v>21</v>
      </c>
      <c r="B15" s="7">
        <v>1</v>
      </c>
      <c r="C15" s="7" t="s">
        <v>16</v>
      </c>
      <c r="D15" s="7">
        <v>14</v>
      </c>
      <c r="E15" s="16">
        <v>5</v>
      </c>
      <c r="F15" s="16">
        <v>0</v>
      </c>
      <c r="G15" s="16">
        <v>0</v>
      </c>
      <c r="H15" s="16">
        <v>0</v>
      </c>
      <c r="I15" s="16">
        <v>0</v>
      </c>
      <c r="J15" s="16">
        <v>26</v>
      </c>
      <c r="K15" s="16">
        <v>0</v>
      </c>
      <c r="L15" s="16">
        <v>0</v>
      </c>
      <c r="M15" s="16">
        <v>0</v>
      </c>
      <c r="N15" s="16">
        <v>4</v>
      </c>
      <c r="O15" s="16">
        <v>50</v>
      </c>
      <c r="P15" s="16">
        <v>0</v>
      </c>
      <c r="Q15" s="16">
        <v>5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19</v>
      </c>
      <c r="Z15" s="34">
        <v>0</v>
      </c>
      <c r="AA15" s="22">
        <f t="shared" si="0"/>
        <v>109</v>
      </c>
      <c r="AB15" s="22"/>
      <c r="AC15" s="16">
        <v>3</v>
      </c>
      <c r="AD15" s="37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</row>
    <row r="16" spans="1:37" ht="17" customHeight="1" x14ac:dyDescent="0.3">
      <c r="A16" s="15" t="s">
        <v>22</v>
      </c>
      <c r="B16" s="7">
        <v>1</v>
      </c>
      <c r="C16" s="7" t="s">
        <v>16</v>
      </c>
      <c r="D16" s="7">
        <v>15</v>
      </c>
      <c r="E16" s="16">
        <v>4</v>
      </c>
      <c r="F16" s="16">
        <v>0</v>
      </c>
      <c r="G16" s="16">
        <v>0</v>
      </c>
      <c r="H16" s="16">
        <v>0</v>
      </c>
      <c r="I16" s="16">
        <v>0</v>
      </c>
      <c r="J16" s="16">
        <v>20</v>
      </c>
      <c r="K16" s="16">
        <v>0</v>
      </c>
      <c r="L16" s="16">
        <v>0</v>
      </c>
      <c r="M16" s="16">
        <v>0</v>
      </c>
      <c r="N16" s="16">
        <v>2</v>
      </c>
      <c r="O16" s="16">
        <v>0</v>
      </c>
      <c r="P16" s="16">
        <v>0</v>
      </c>
      <c r="Q16" s="16">
        <v>5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26</v>
      </c>
      <c r="Z16" s="34">
        <v>52</v>
      </c>
      <c r="AA16" s="22">
        <f t="shared" si="0"/>
        <v>109</v>
      </c>
      <c r="AB16" s="22"/>
      <c r="AC16" s="16">
        <v>0</v>
      </c>
      <c r="AD16" s="37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</row>
    <row r="17" spans="1:37" ht="17" customHeight="1" x14ac:dyDescent="0.3">
      <c r="A17" s="15" t="s">
        <v>22</v>
      </c>
      <c r="B17" s="7">
        <v>1</v>
      </c>
      <c r="C17" s="7" t="s">
        <v>16</v>
      </c>
      <c r="D17" s="7">
        <v>16</v>
      </c>
      <c r="E17" s="16">
        <v>2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60</v>
      </c>
      <c r="P17" s="16">
        <v>0</v>
      </c>
      <c r="Q17" s="16">
        <v>6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8</v>
      </c>
      <c r="Z17" s="34">
        <v>24</v>
      </c>
      <c r="AA17" s="22">
        <f t="shared" si="0"/>
        <v>100</v>
      </c>
      <c r="AB17" s="22"/>
      <c r="AC17" s="16">
        <v>0</v>
      </c>
      <c r="AD17" s="37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</row>
    <row r="18" spans="1:37" ht="17" customHeight="1" x14ac:dyDescent="0.3">
      <c r="A18" s="15" t="s">
        <v>23</v>
      </c>
      <c r="B18" s="7">
        <v>1</v>
      </c>
      <c r="C18" s="7" t="s">
        <v>16</v>
      </c>
      <c r="D18" s="7">
        <v>17</v>
      </c>
      <c r="E18" s="16">
        <v>5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20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83</v>
      </c>
      <c r="Z18" s="34">
        <v>0</v>
      </c>
      <c r="AA18" s="22">
        <f t="shared" si="0"/>
        <v>108</v>
      </c>
      <c r="AB18" s="22"/>
      <c r="AC18" s="16">
        <v>1</v>
      </c>
      <c r="AD18" s="37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</row>
    <row r="19" spans="1:37" ht="17" customHeight="1" x14ac:dyDescent="0.3">
      <c r="A19" s="15" t="s">
        <v>23</v>
      </c>
      <c r="B19" s="7">
        <v>1</v>
      </c>
      <c r="C19" s="7" t="s">
        <v>16</v>
      </c>
      <c r="D19" s="7">
        <v>18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1</v>
      </c>
      <c r="N19" s="16">
        <v>0</v>
      </c>
      <c r="O19" s="16">
        <v>31</v>
      </c>
      <c r="P19" s="16">
        <v>0</v>
      </c>
      <c r="Q19" s="16">
        <v>32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40</v>
      </c>
      <c r="Z19" s="34">
        <v>0</v>
      </c>
      <c r="AA19" s="22">
        <f t="shared" si="0"/>
        <v>104</v>
      </c>
      <c r="AB19" s="22"/>
      <c r="AC19" s="16">
        <v>11</v>
      </c>
      <c r="AD19" s="37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1</v>
      </c>
    </row>
    <row r="20" spans="1:37" ht="17" customHeight="1" x14ac:dyDescent="0.3">
      <c r="A20" s="15" t="s">
        <v>23</v>
      </c>
      <c r="B20" s="7">
        <v>1</v>
      </c>
      <c r="C20" s="7" t="s">
        <v>16</v>
      </c>
      <c r="D20" s="7">
        <v>19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10</v>
      </c>
      <c r="N20" s="16">
        <v>0</v>
      </c>
      <c r="O20" s="16">
        <v>91</v>
      </c>
      <c r="P20" s="16">
        <v>0</v>
      </c>
      <c r="Q20" s="16">
        <v>3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34">
        <v>10</v>
      </c>
      <c r="AA20" s="22">
        <f t="shared" si="0"/>
        <v>114</v>
      </c>
      <c r="AB20" s="22"/>
      <c r="AC20" s="16">
        <v>5</v>
      </c>
      <c r="AD20" s="37">
        <v>0</v>
      </c>
      <c r="AE20" s="16">
        <v>1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1</v>
      </c>
    </row>
    <row r="21" spans="1:37" ht="17" customHeight="1" x14ac:dyDescent="0.3">
      <c r="A21" s="15" t="s">
        <v>24</v>
      </c>
      <c r="B21" s="7">
        <v>1</v>
      </c>
      <c r="C21" s="7" t="s">
        <v>16</v>
      </c>
      <c r="D21" s="7">
        <v>20</v>
      </c>
      <c r="E21" s="16">
        <v>2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1</v>
      </c>
      <c r="N21" s="16">
        <v>0</v>
      </c>
      <c r="O21" s="16">
        <v>40</v>
      </c>
      <c r="P21" s="16">
        <v>0</v>
      </c>
      <c r="Q21" s="16">
        <v>16</v>
      </c>
      <c r="R21" s="16">
        <v>0</v>
      </c>
      <c r="S21" s="16">
        <v>48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34">
        <v>0</v>
      </c>
      <c r="AA21" s="22">
        <f t="shared" si="0"/>
        <v>107</v>
      </c>
      <c r="AB21" s="22"/>
      <c r="AC21" s="16">
        <v>1</v>
      </c>
      <c r="AD21" s="37">
        <v>0</v>
      </c>
      <c r="AE21" s="16">
        <v>3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</row>
    <row r="22" spans="1:37" ht="17" customHeight="1" x14ac:dyDescent="0.3">
      <c r="A22" s="15" t="s">
        <v>24</v>
      </c>
      <c r="B22" s="7">
        <v>1</v>
      </c>
      <c r="C22" s="7" t="s">
        <v>16</v>
      </c>
      <c r="D22" s="7">
        <v>21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4</v>
      </c>
      <c r="L22" s="16">
        <v>0</v>
      </c>
      <c r="M22" s="16">
        <v>0</v>
      </c>
      <c r="N22" s="16">
        <v>0</v>
      </c>
      <c r="O22" s="16">
        <v>90</v>
      </c>
      <c r="P22" s="16">
        <v>0</v>
      </c>
      <c r="Q22" s="16">
        <v>5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10</v>
      </c>
      <c r="Z22" s="34">
        <v>0</v>
      </c>
      <c r="AA22" s="22">
        <f t="shared" si="0"/>
        <v>109</v>
      </c>
      <c r="AB22" s="22"/>
      <c r="AC22" s="16">
        <v>0</v>
      </c>
      <c r="AD22" s="37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</row>
    <row r="23" spans="1:37" ht="17" customHeight="1" x14ac:dyDescent="0.3">
      <c r="A23" s="15" t="s">
        <v>25</v>
      </c>
      <c r="B23" s="7">
        <v>1</v>
      </c>
      <c r="C23" s="7" t="s">
        <v>16</v>
      </c>
      <c r="D23" s="7">
        <v>22</v>
      </c>
      <c r="E23" s="16">
        <v>6</v>
      </c>
      <c r="F23" s="16">
        <v>0</v>
      </c>
      <c r="G23" s="16">
        <v>0</v>
      </c>
      <c r="H23" s="16">
        <v>0</v>
      </c>
      <c r="I23" s="16">
        <v>5</v>
      </c>
      <c r="J23" s="16">
        <v>60</v>
      </c>
      <c r="K23" s="16">
        <v>0</v>
      </c>
      <c r="L23" s="16">
        <v>0</v>
      </c>
      <c r="M23" s="16">
        <v>1</v>
      </c>
      <c r="N23" s="16">
        <v>0</v>
      </c>
      <c r="O23" s="16">
        <v>10</v>
      </c>
      <c r="P23" s="16">
        <v>0</v>
      </c>
      <c r="Q23" s="16">
        <v>5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30</v>
      </c>
      <c r="Z23" s="34">
        <v>2</v>
      </c>
      <c r="AA23" s="22">
        <f t="shared" si="0"/>
        <v>119</v>
      </c>
      <c r="AB23" s="22"/>
      <c r="AC23" s="16">
        <v>3</v>
      </c>
      <c r="AD23" s="37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</row>
    <row r="24" spans="1:37" ht="17" customHeight="1" x14ac:dyDescent="0.3">
      <c r="A24" s="15" t="s">
        <v>25</v>
      </c>
      <c r="B24" s="7">
        <v>1</v>
      </c>
      <c r="C24" s="7" t="s">
        <v>16</v>
      </c>
      <c r="D24" s="7">
        <v>23</v>
      </c>
      <c r="E24" s="16">
        <v>4</v>
      </c>
      <c r="F24" s="16">
        <v>0</v>
      </c>
      <c r="G24" s="16">
        <v>0</v>
      </c>
      <c r="H24" s="16">
        <v>0</v>
      </c>
      <c r="I24" s="16">
        <v>5</v>
      </c>
      <c r="J24" s="16">
        <v>70</v>
      </c>
      <c r="K24" s="16">
        <v>0</v>
      </c>
      <c r="L24" s="16">
        <v>0</v>
      </c>
      <c r="M24" s="16">
        <v>15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4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30</v>
      </c>
      <c r="Z24" s="34">
        <v>4</v>
      </c>
      <c r="AA24" s="22">
        <f t="shared" si="0"/>
        <v>132</v>
      </c>
      <c r="AB24" s="22"/>
      <c r="AC24" s="16">
        <v>0</v>
      </c>
      <c r="AD24" s="37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</row>
    <row r="25" spans="1:37" ht="17" customHeight="1" x14ac:dyDescent="0.3">
      <c r="A25" s="15" t="s">
        <v>25</v>
      </c>
      <c r="B25" s="7">
        <v>1</v>
      </c>
      <c r="C25" s="7" t="s">
        <v>16</v>
      </c>
      <c r="D25" s="7">
        <v>24</v>
      </c>
      <c r="E25" s="16">
        <v>0</v>
      </c>
      <c r="F25" s="16">
        <v>0</v>
      </c>
      <c r="G25" s="16">
        <v>0</v>
      </c>
      <c r="H25" s="16">
        <v>0</v>
      </c>
      <c r="I25" s="16">
        <v>3</v>
      </c>
      <c r="J25" s="16">
        <v>0</v>
      </c>
      <c r="K25" s="16">
        <v>0</v>
      </c>
      <c r="L25" s="16">
        <v>0</v>
      </c>
      <c r="M25" s="16">
        <v>1</v>
      </c>
      <c r="N25" s="16">
        <v>0</v>
      </c>
      <c r="O25" s="16">
        <v>60</v>
      </c>
      <c r="P25" s="16">
        <v>0</v>
      </c>
      <c r="Q25" s="16">
        <v>8</v>
      </c>
      <c r="R25" s="16">
        <v>0</v>
      </c>
      <c r="S25" s="16">
        <v>2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42</v>
      </c>
      <c r="Z25" s="34">
        <v>0</v>
      </c>
      <c r="AA25" s="22">
        <f t="shared" si="0"/>
        <v>116</v>
      </c>
      <c r="AB25" s="22"/>
      <c r="AC25" s="16">
        <v>0</v>
      </c>
      <c r="AD25" s="37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</row>
    <row r="26" spans="1:37" ht="17" customHeight="1" x14ac:dyDescent="0.3">
      <c r="A26" s="15" t="s">
        <v>26</v>
      </c>
      <c r="B26" s="7">
        <v>1</v>
      </c>
      <c r="C26" s="7" t="s">
        <v>16</v>
      </c>
      <c r="D26" s="7">
        <v>25</v>
      </c>
      <c r="E26" s="16">
        <v>0.4</v>
      </c>
      <c r="F26" s="16">
        <v>2</v>
      </c>
      <c r="G26" s="16">
        <v>0</v>
      </c>
      <c r="H26" s="16">
        <v>0</v>
      </c>
      <c r="I26" s="16">
        <v>2</v>
      </c>
      <c r="J26" s="16">
        <v>10</v>
      </c>
      <c r="K26" s="16">
        <v>0</v>
      </c>
      <c r="L26" s="16">
        <v>0</v>
      </c>
      <c r="M26" s="16">
        <v>8</v>
      </c>
      <c r="N26" s="16">
        <v>0</v>
      </c>
      <c r="O26" s="16">
        <v>40</v>
      </c>
      <c r="P26" s="16">
        <v>0</v>
      </c>
      <c r="Q26" s="16">
        <v>3</v>
      </c>
      <c r="R26" s="16">
        <v>0</v>
      </c>
      <c r="S26" s="16">
        <v>4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35</v>
      </c>
      <c r="Z26" s="34">
        <v>5</v>
      </c>
      <c r="AA26" s="22">
        <f t="shared" si="0"/>
        <v>109.4</v>
      </c>
      <c r="AB26" s="22"/>
      <c r="AC26" s="16">
        <v>0</v>
      </c>
      <c r="AD26" s="37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</row>
    <row r="27" spans="1:37" ht="17" customHeight="1" x14ac:dyDescent="0.3">
      <c r="A27" s="15" t="s">
        <v>26</v>
      </c>
      <c r="B27" s="7">
        <v>1</v>
      </c>
      <c r="C27" s="7" t="s">
        <v>16</v>
      </c>
      <c r="D27" s="7">
        <v>26</v>
      </c>
      <c r="E27" s="16">
        <v>0</v>
      </c>
      <c r="F27" s="16">
        <v>2</v>
      </c>
      <c r="G27" s="16">
        <v>0</v>
      </c>
      <c r="H27" s="16">
        <v>0</v>
      </c>
      <c r="I27" s="16">
        <v>0.5</v>
      </c>
      <c r="J27" s="16">
        <v>15</v>
      </c>
      <c r="K27" s="16">
        <v>0</v>
      </c>
      <c r="L27" s="16">
        <v>0</v>
      </c>
      <c r="M27" s="16">
        <v>8</v>
      </c>
      <c r="N27" s="16">
        <v>0</v>
      </c>
      <c r="O27" s="16">
        <v>45</v>
      </c>
      <c r="P27" s="16">
        <v>0</v>
      </c>
      <c r="Q27" s="16">
        <v>8</v>
      </c>
      <c r="R27" s="16">
        <v>0</v>
      </c>
      <c r="S27" s="16">
        <v>5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25</v>
      </c>
      <c r="Z27" s="34">
        <v>10</v>
      </c>
      <c r="AA27" s="22">
        <f t="shared" si="0"/>
        <v>118.5</v>
      </c>
      <c r="AB27" s="22"/>
      <c r="AC27" s="16">
        <v>0</v>
      </c>
      <c r="AD27" s="37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</row>
    <row r="28" spans="1:37" ht="17" customHeight="1" x14ac:dyDescent="0.3">
      <c r="A28" s="15" t="s">
        <v>27</v>
      </c>
      <c r="B28" s="7">
        <v>1</v>
      </c>
      <c r="C28" s="7" t="s">
        <v>16</v>
      </c>
      <c r="D28" s="7">
        <v>27</v>
      </c>
      <c r="E28" s="16">
        <v>1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40</v>
      </c>
      <c r="P28" s="16">
        <v>0</v>
      </c>
      <c r="Q28" s="16">
        <v>8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60</v>
      </c>
      <c r="Z28" s="34">
        <v>0</v>
      </c>
      <c r="AA28" s="22">
        <f t="shared" si="0"/>
        <v>109</v>
      </c>
      <c r="AB28" s="22"/>
      <c r="AC28" s="16">
        <v>0</v>
      </c>
      <c r="AD28" s="37">
        <v>0</v>
      </c>
      <c r="AE28" s="16">
        <v>0</v>
      </c>
      <c r="AF28" s="16">
        <v>1</v>
      </c>
      <c r="AG28" s="16">
        <v>1</v>
      </c>
      <c r="AH28" s="16">
        <v>0</v>
      </c>
      <c r="AI28" s="16">
        <v>0</v>
      </c>
      <c r="AJ28" s="16">
        <v>0</v>
      </c>
      <c r="AK28" s="16">
        <v>0</v>
      </c>
    </row>
    <row r="29" spans="1:37" ht="17" customHeight="1" x14ac:dyDescent="0.3">
      <c r="A29" s="15" t="s">
        <v>27</v>
      </c>
      <c r="B29" s="7">
        <v>1</v>
      </c>
      <c r="C29" s="7" t="s">
        <v>16</v>
      </c>
      <c r="D29" s="7">
        <v>28</v>
      </c>
      <c r="E29" s="16">
        <v>4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2</v>
      </c>
      <c r="R29" s="16">
        <v>10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85</v>
      </c>
      <c r="Z29" s="34">
        <v>0</v>
      </c>
      <c r="AA29" s="22">
        <f t="shared" si="0"/>
        <v>101</v>
      </c>
      <c r="AB29" s="22"/>
      <c r="AC29" s="16">
        <v>0</v>
      </c>
      <c r="AD29" s="37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</row>
    <row r="30" spans="1:37" ht="17" customHeight="1" x14ac:dyDescent="0.3">
      <c r="A30" s="15" t="s">
        <v>28</v>
      </c>
      <c r="B30" s="7">
        <v>1</v>
      </c>
      <c r="C30" s="7" t="s">
        <v>16</v>
      </c>
      <c r="D30" s="7">
        <v>29</v>
      </c>
      <c r="E30" s="16">
        <v>6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14</v>
      </c>
      <c r="P30" s="16">
        <v>0</v>
      </c>
      <c r="Q30" s="16">
        <v>50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30</v>
      </c>
      <c r="Z30" s="34">
        <v>0</v>
      </c>
      <c r="AA30" s="22">
        <f t="shared" si="0"/>
        <v>100</v>
      </c>
      <c r="AB30" s="22"/>
      <c r="AC30" s="16">
        <v>0</v>
      </c>
      <c r="AD30" s="37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1</v>
      </c>
      <c r="AJ30" s="16">
        <v>0</v>
      </c>
      <c r="AK30" s="16">
        <v>0</v>
      </c>
    </row>
    <row r="31" spans="1:37" ht="17" customHeight="1" x14ac:dyDescent="0.3">
      <c r="A31" s="15" t="s">
        <v>28</v>
      </c>
      <c r="B31" s="7">
        <v>1</v>
      </c>
      <c r="C31" s="7" t="s">
        <v>16</v>
      </c>
      <c r="D31" s="7">
        <v>30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20</v>
      </c>
      <c r="P31" s="16">
        <v>0</v>
      </c>
      <c r="Q31" s="16">
        <v>50</v>
      </c>
      <c r="R31" s="16">
        <v>0</v>
      </c>
      <c r="S31" s="16">
        <v>34</v>
      </c>
      <c r="T31" s="16">
        <v>2</v>
      </c>
      <c r="U31" s="16">
        <v>4</v>
      </c>
      <c r="V31" s="16">
        <v>0</v>
      </c>
      <c r="W31" s="16">
        <v>0</v>
      </c>
      <c r="X31" s="16">
        <v>0</v>
      </c>
      <c r="Y31" s="16">
        <v>0</v>
      </c>
      <c r="Z31" s="34">
        <v>0</v>
      </c>
      <c r="AA31" s="22">
        <f t="shared" si="0"/>
        <v>110</v>
      </c>
      <c r="AB31" s="22"/>
      <c r="AC31" s="16">
        <v>0</v>
      </c>
      <c r="AD31" s="37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</row>
    <row r="32" spans="1:37" ht="17" customHeight="1" x14ac:dyDescent="0.3">
      <c r="A32" s="15" t="s">
        <v>29</v>
      </c>
      <c r="B32" s="7">
        <v>1</v>
      </c>
      <c r="C32" s="7" t="s">
        <v>16</v>
      </c>
      <c r="D32" s="7">
        <v>31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14</v>
      </c>
      <c r="P32" s="16">
        <v>0</v>
      </c>
      <c r="Q32" s="16">
        <v>16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70</v>
      </c>
      <c r="Z32" s="34">
        <v>0</v>
      </c>
      <c r="AA32" s="22">
        <f t="shared" si="0"/>
        <v>100</v>
      </c>
      <c r="AB32" s="22"/>
      <c r="AC32" s="16">
        <v>0</v>
      </c>
      <c r="AD32" s="37">
        <v>0</v>
      </c>
      <c r="AE32" s="16">
        <v>0</v>
      </c>
      <c r="AF32" s="16">
        <v>4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</row>
    <row r="33" spans="1:37" ht="17" customHeight="1" x14ac:dyDescent="0.3">
      <c r="A33" s="15" t="s">
        <v>29</v>
      </c>
      <c r="B33" s="7">
        <v>1</v>
      </c>
      <c r="C33" s="7" t="s">
        <v>16</v>
      </c>
      <c r="D33" s="7">
        <v>32</v>
      </c>
      <c r="E33" s="16">
        <v>4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1.5</v>
      </c>
      <c r="N33" s="16">
        <v>0</v>
      </c>
      <c r="O33" s="16">
        <v>16</v>
      </c>
      <c r="P33" s="16">
        <v>0</v>
      </c>
      <c r="Q33" s="16">
        <v>4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60</v>
      </c>
      <c r="Z33" s="34">
        <v>0</v>
      </c>
      <c r="AA33" s="22">
        <f t="shared" si="0"/>
        <v>85.5</v>
      </c>
      <c r="AB33" s="22"/>
      <c r="AC33" s="16">
        <v>0</v>
      </c>
      <c r="AD33" s="37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</row>
    <row r="34" spans="1:37" ht="17" customHeight="1" x14ac:dyDescent="0.3">
      <c r="A34" s="15" t="s">
        <v>29</v>
      </c>
      <c r="B34" s="7">
        <v>1</v>
      </c>
      <c r="C34" s="7" t="s">
        <v>16</v>
      </c>
      <c r="D34" s="7">
        <v>33</v>
      </c>
      <c r="E34" s="16">
        <v>2</v>
      </c>
      <c r="F34" s="16">
        <v>3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25</v>
      </c>
      <c r="P34" s="16">
        <v>0</v>
      </c>
      <c r="Q34" s="16">
        <v>8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60</v>
      </c>
      <c r="Z34" s="34">
        <v>0</v>
      </c>
      <c r="AA34" s="22">
        <f t="shared" si="0"/>
        <v>98</v>
      </c>
      <c r="AB34" s="22"/>
      <c r="AC34" s="16">
        <v>3</v>
      </c>
      <c r="AD34" s="37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</row>
    <row r="35" spans="1:37" ht="17" customHeight="1" x14ac:dyDescent="0.3">
      <c r="A35" s="15" t="s">
        <v>29</v>
      </c>
      <c r="B35" s="7">
        <v>1</v>
      </c>
      <c r="C35" s="7" t="s">
        <v>16</v>
      </c>
      <c r="D35" s="7">
        <v>34</v>
      </c>
      <c r="E35" s="16">
        <v>2</v>
      </c>
      <c r="F35" s="16">
        <v>4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3</v>
      </c>
      <c r="N35" s="16">
        <v>0</v>
      </c>
      <c r="O35" s="16">
        <v>35</v>
      </c>
      <c r="P35" s="16">
        <v>0</v>
      </c>
      <c r="Q35" s="16">
        <v>5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60</v>
      </c>
      <c r="Z35" s="34">
        <v>0</v>
      </c>
      <c r="AA35" s="22">
        <f t="shared" si="0"/>
        <v>109</v>
      </c>
      <c r="AB35" s="22"/>
      <c r="AC35" s="16">
        <v>0</v>
      </c>
      <c r="AD35" s="37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2</v>
      </c>
      <c r="AJ35" s="16">
        <v>0</v>
      </c>
      <c r="AK35" s="16">
        <v>0</v>
      </c>
    </row>
    <row r="36" spans="1:37" ht="17" customHeight="1" x14ac:dyDescent="0.3">
      <c r="A36" s="15" t="s">
        <v>30</v>
      </c>
      <c r="B36" s="7">
        <v>1</v>
      </c>
      <c r="C36" s="7" t="s">
        <v>16</v>
      </c>
      <c r="D36" s="7">
        <v>35</v>
      </c>
      <c r="E36" s="16">
        <v>2</v>
      </c>
      <c r="F36" s="16">
        <v>0</v>
      </c>
      <c r="G36" s="16">
        <v>0</v>
      </c>
      <c r="H36" s="16">
        <v>0</v>
      </c>
      <c r="I36" s="16">
        <v>0</v>
      </c>
      <c r="J36" s="16">
        <v>2</v>
      </c>
      <c r="K36" s="16">
        <v>0</v>
      </c>
      <c r="L36" s="16">
        <v>0</v>
      </c>
      <c r="M36" s="16">
        <v>0</v>
      </c>
      <c r="N36" s="16">
        <v>0</v>
      </c>
      <c r="O36" s="16">
        <v>16</v>
      </c>
      <c r="P36" s="16">
        <v>0</v>
      </c>
      <c r="Q36" s="16">
        <v>4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80</v>
      </c>
      <c r="Z36" s="34">
        <v>0</v>
      </c>
      <c r="AA36" s="22">
        <f t="shared" si="0"/>
        <v>104</v>
      </c>
      <c r="AB36" s="22"/>
      <c r="AC36" s="16">
        <v>0</v>
      </c>
      <c r="AD36" s="37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</row>
    <row r="37" spans="1:37" ht="17" customHeight="1" x14ac:dyDescent="0.3">
      <c r="A37" s="15" t="s">
        <v>30</v>
      </c>
      <c r="B37" s="7">
        <v>1</v>
      </c>
      <c r="C37" s="7" t="s">
        <v>16</v>
      </c>
      <c r="D37" s="7">
        <v>36</v>
      </c>
      <c r="E37" s="16">
        <v>1</v>
      </c>
      <c r="F37" s="16">
        <v>0</v>
      </c>
      <c r="G37" s="16">
        <v>0</v>
      </c>
      <c r="H37" s="16">
        <v>0</v>
      </c>
      <c r="I37" s="16">
        <v>0</v>
      </c>
      <c r="J37" s="16">
        <v>16</v>
      </c>
      <c r="K37" s="16">
        <v>0</v>
      </c>
      <c r="L37" s="16">
        <v>0</v>
      </c>
      <c r="M37" s="16">
        <v>2</v>
      </c>
      <c r="N37" s="16">
        <v>0</v>
      </c>
      <c r="O37" s="16">
        <v>24</v>
      </c>
      <c r="P37" s="16">
        <v>0</v>
      </c>
      <c r="Q37" s="16">
        <v>8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50</v>
      </c>
      <c r="Z37" s="34">
        <v>0</v>
      </c>
      <c r="AA37" s="22">
        <f t="shared" si="0"/>
        <v>101</v>
      </c>
      <c r="AB37" s="22"/>
      <c r="AC37" s="16">
        <v>0</v>
      </c>
      <c r="AD37" s="37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</row>
    <row r="38" spans="1:37" ht="17" customHeight="1" x14ac:dyDescent="0.3">
      <c r="A38" s="17" t="s">
        <v>31</v>
      </c>
      <c r="B38" s="18">
        <v>3</v>
      </c>
      <c r="C38" s="18" t="s">
        <v>32</v>
      </c>
      <c r="D38" s="18">
        <v>1</v>
      </c>
      <c r="E38" s="19">
        <v>0.6</v>
      </c>
      <c r="F38" s="19">
        <v>0.1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0.8</v>
      </c>
      <c r="N38" s="19">
        <v>0</v>
      </c>
      <c r="O38" s="19">
        <v>64</v>
      </c>
      <c r="P38" s="19">
        <v>0</v>
      </c>
      <c r="Q38" s="19">
        <v>0</v>
      </c>
      <c r="R38" s="19">
        <v>0</v>
      </c>
      <c r="S38" s="19">
        <v>48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30</v>
      </c>
      <c r="Z38" s="35">
        <v>0</v>
      </c>
      <c r="AA38" s="22">
        <f t="shared" si="0"/>
        <v>143.5</v>
      </c>
      <c r="AB38" s="26"/>
      <c r="AC38" s="19">
        <v>1</v>
      </c>
      <c r="AD38" s="38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</row>
    <row r="39" spans="1:37" ht="17" customHeight="1" x14ac:dyDescent="0.3">
      <c r="A39" s="17" t="s">
        <v>31</v>
      </c>
      <c r="B39" s="18">
        <v>3</v>
      </c>
      <c r="C39" s="18" t="s">
        <v>32</v>
      </c>
      <c r="D39" s="18">
        <v>2</v>
      </c>
      <c r="E39" s="19">
        <v>0</v>
      </c>
      <c r="F39" s="19">
        <v>0</v>
      </c>
      <c r="G39" s="19">
        <v>0</v>
      </c>
      <c r="H39" s="19">
        <v>3</v>
      </c>
      <c r="I39" s="19">
        <v>0</v>
      </c>
      <c r="J39" s="19">
        <v>0</v>
      </c>
      <c r="K39" s="19">
        <v>0</v>
      </c>
      <c r="L39" s="19">
        <v>0</v>
      </c>
      <c r="M39" s="19">
        <v>8</v>
      </c>
      <c r="N39" s="19">
        <v>0</v>
      </c>
      <c r="O39" s="19">
        <v>0</v>
      </c>
      <c r="P39" s="19">
        <v>0</v>
      </c>
      <c r="Q39" s="19">
        <v>1</v>
      </c>
      <c r="R39" s="19">
        <v>0</v>
      </c>
      <c r="S39" s="19">
        <v>48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30</v>
      </c>
      <c r="Z39" s="35">
        <v>0</v>
      </c>
      <c r="AA39" s="22">
        <f t="shared" si="0"/>
        <v>90</v>
      </c>
      <c r="AB39" s="26"/>
      <c r="AC39" s="19">
        <v>1</v>
      </c>
      <c r="AD39" s="38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</row>
    <row r="40" spans="1:37" ht="17" customHeight="1" x14ac:dyDescent="0.3">
      <c r="A40" s="17" t="s">
        <v>33</v>
      </c>
      <c r="B40" s="18">
        <v>3</v>
      </c>
      <c r="C40" s="18" t="s">
        <v>32</v>
      </c>
      <c r="D40" s="18">
        <v>3</v>
      </c>
      <c r="E40" s="19">
        <v>24</v>
      </c>
      <c r="F40" s="19">
        <v>0.2</v>
      </c>
      <c r="G40" s="19">
        <v>0</v>
      </c>
      <c r="H40" s="19">
        <v>40</v>
      </c>
      <c r="I40" s="19">
        <v>0</v>
      </c>
      <c r="J40" s="19">
        <v>32</v>
      </c>
      <c r="K40" s="19">
        <v>0</v>
      </c>
      <c r="L40" s="19">
        <v>0</v>
      </c>
      <c r="M40" s="19">
        <v>2</v>
      </c>
      <c r="N40" s="19">
        <v>0</v>
      </c>
      <c r="O40" s="19">
        <v>0</v>
      </c>
      <c r="P40" s="19">
        <v>0</v>
      </c>
      <c r="Q40" s="19">
        <v>28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30</v>
      </c>
      <c r="Z40" s="35">
        <v>0</v>
      </c>
      <c r="AA40" s="22">
        <f t="shared" si="0"/>
        <v>156.19999999999999</v>
      </c>
      <c r="AB40" s="26"/>
      <c r="AC40" s="19">
        <v>3</v>
      </c>
      <c r="AD40" s="38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1</v>
      </c>
    </row>
    <row r="41" spans="1:37" ht="17" customHeight="1" x14ac:dyDescent="0.3">
      <c r="A41" s="17" t="s">
        <v>33</v>
      </c>
      <c r="B41" s="18">
        <v>3</v>
      </c>
      <c r="C41" s="18" t="s">
        <v>32</v>
      </c>
      <c r="D41" s="18">
        <v>4</v>
      </c>
      <c r="E41" s="19">
        <v>4</v>
      </c>
      <c r="F41" s="19">
        <v>0</v>
      </c>
      <c r="G41" s="19">
        <v>0</v>
      </c>
      <c r="H41" s="19">
        <v>0</v>
      </c>
      <c r="I41" s="19">
        <v>0</v>
      </c>
      <c r="J41" s="19">
        <v>4</v>
      </c>
      <c r="K41" s="19">
        <v>0</v>
      </c>
      <c r="L41" s="19">
        <v>0</v>
      </c>
      <c r="M41" s="19">
        <v>12</v>
      </c>
      <c r="N41" s="19">
        <v>0</v>
      </c>
      <c r="O41" s="19">
        <v>0</v>
      </c>
      <c r="P41" s="19">
        <v>0</v>
      </c>
      <c r="Q41" s="19">
        <v>16</v>
      </c>
      <c r="R41" s="19">
        <v>0</v>
      </c>
      <c r="S41" s="19">
        <v>12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50</v>
      </c>
      <c r="Z41" s="35">
        <v>0.1</v>
      </c>
      <c r="AA41" s="22">
        <f t="shared" si="0"/>
        <v>98.1</v>
      </c>
      <c r="AB41" s="26"/>
      <c r="AC41" s="19">
        <v>0</v>
      </c>
      <c r="AD41" s="38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</row>
    <row r="42" spans="1:37" ht="17" customHeight="1" x14ac:dyDescent="0.3">
      <c r="A42" s="17" t="s">
        <v>34</v>
      </c>
      <c r="B42" s="18">
        <v>3</v>
      </c>
      <c r="C42" s="18" t="s">
        <v>32</v>
      </c>
      <c r="D42" s="18">
        <v>5</v>
      </c>
      <c r="E42" s="19">
        <v>0</v>
      </c>
      <c r="F42" s="19">
        <v>22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65</v>
      </c>
      <c r="P42" s="19">
        <v>10</v>
      </c>
      <c r="Q42" s="19">
        <v>10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35">
        <v>0</v>
      </c>
      <c r="AA42" s="22">
        <f t="shared" si="0"/>
        <v>107</v>
      </c>
      <c r="AB42" s="26"/>
      <c r="AC42" s="19">
        <v>1</v>
      </c>
      <c r="AD42" s="38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</row>
    <row r="43" spans="1:37" ht="17" customHeight="1" x14ac:dyDescent="0.3">
      <c r="A43" s="17" t="s">
        <v>34</v>
      </c>
      <c r="B43" s="18">
        <v>3</v>
      </c>
      <c r="C43" s="18" t="s">
        <v>32</v>
      </c>
      <c r="D43" s="18">
        <v>6</v>
      </c>
      <c r="E43" s="19">
        <v>13</v>
      </c>
      <c r="F43" s="19">
        <v>4</v>
      </c>
      <c r="G43" s="19">
        <v>0</v>
      </c>
      <c r="H43" s="19">
        <v>3</v>
      </c>
      <c r="I43" s="19">
        <v>0</v>
      </c>
      <c r="J43" s="19">
        <v>0</v>
      </c>
      <c r="K43" s="19">
        <v>0</v>
      </c>
      <c r="L43" s="19">
        <v>0</v>
      </c>
      <c r="M43" s="19">
        <v>37</v>
      </c>
      <c r="N43" s="19">
        <v>0</v>
      </c>
      <c r="O43" s="19">
        <v>38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35">
        <v>0</v>
      </c>
      <c r="AA43" s="22">
        <f t="shared" si="0"/>
        <v>95</v>
      </c>
      <c r="AB43" s="26"/>
      <c r="AC43" s="19">
        <v>0</v>
      </c>
      <c r="AD43" s="38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</row>
    <row r="44" spans="1:37" ht="17" customHeight="1" x14ac:dyDescent="0.3">
      <c r="A44" s="17" t="s">
        <v>34</v>
      </c>
      <c r="B44" s="18">
        <v>3</v>
      </c>
      <c r="C44" s="18" t="s">
        <v>32</v>
      </c>
      <c r="D44" s="18">
        <v>7</v>
      </c>
      <c r="E44" s="19">
        <v>1</v>
      </c>
      <c r="F44" s="19">
        <v>7</v>
      </c>
      <c r="G44" s="19">
        <v>0</v>
      </c>
      <c r="H44" s="19">
        <v>29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56</v>
      </c>
      <c r="T44" s="19">
        <v>0</v>
      </c>
      <c r="U44" s="19">
        <v>0</v>
      </c>
      <c r="V44" s="19">
        <v>0</v>
      </c>
      <c r="W44" s="19">
        <v>0.7</v>
      </c>
      <c r="X44" s="19">
        <v>0</v>
      </c>
      <c r="Y44" s="19">
        <v>0</v>
      </c>
      <c r="Z44" s="35">
        <v>2</v>
      </c>
      <c r="AA44" s="22">
        <f t="shared" si="0"/>
        <v>95.7</v>
      </c>
      <c r="AB44" s="26"/>
      <c r="AC44" s="19">
        <v>0</v>
      </c>
      <c r="AD44" s="38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</row>
    <row r="45" spans="1:37" ht="17" customHeight="1" x14ac:dyDescent="0.3">
      <c r="A45" s="17" t="s">
        <v>35</v>
      </c>
      <c r="B45" s="18">
        <v>3</v>
      </c>
      <c r="C45" s="18" t="s">
        <v>32</v>
      </c>
      <c r="D45" s="18">
        <v>8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12</v>
      </c>
      <c r="K45" s="19">
        <v>0</v>
      </c>
      <c r="L45" s="19">
        <v>0</v>
      </c>
      <c r="M45" s="19">
        <v>17</v>
      </c>
      <c r="N45" s="19">
        <v>0</v>
      </c>
      <c r="O45" s="19">
        <v>67</v>
      </c>
      <c r="P45" s="19">
        <v>0</v>
      </c>
      <c r="Q45" s="19">
        <v>4</v>
      </c>
      <c r="R45" s="19">
        <v>0</v>
      </c>
      <c r="S45" s="19">
        <v>0</v>
      </c>
      <c r="T45" s="19">
        <v>0</v>
      </c>
      <c r="U45" s="19">
        <v>0</v>
      </c>
      <c r="V45" s="19">
        <v>2</v>
      </c>
      <c r="W45" s="19">
        <v>0</v>
      </c>
      <c r="X45" s="19">
        <v>0</v>
      </c>
      <c r="Y45" s="19">
        <v>0</v>
      </c>
      <c r="Z45" s="35">
        <v>0</v>
      </c>
      <c r="AA45" s="22">
        <f t="shared" si="0"/>
        <v>102</v>
      </c>
      <c r="AB45" s="26"/>
      <c r="AC45" s="19">
        <v>0</v>
      </c>
      <c r="AD45" s="38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</row>
    <row r="46" spans="1:37" ht="17" customHeight="1" x14ac:dyDescent="0.3">
      <c r="A46" s="17" t="s">
        <v>35</v>
      </c>
      <c r="B46" s="18">
        <v>3</v>
      </c>
      <c r="C46" s="18" t="s">
        <v>32</v>
      </c>
      <c r="D46" s="18">
        <v>9</v>
      </c>
      <c r="E46" s="19">
        <v>1</v>
      </c>
      <c r="F46" s="19">
        <v>0</v>
      </c>
      <c r="G46" s="19">
        <v>0</v>
      </c>
      <c r="H46" s="19">
        <v>4</v>
      </c>
      <c r="I46" s="19">
        <v>0</v>
      </c>
      <c r="J46" s="19">
        <v>4</v>
      </c>
      <c r="K46" s="19">
        <v>0</v>
      </c>
      <c r="L46" s="19">
        <v>0</v>
      </c>
      <c r="M46" s="19">
        <v>0</v>
      </c>
      <c r="N46" s="19">
        <v>0</v>
      </c>
      <c r="O46" s="19">
        <v>84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35">
        <v>0</v>
      </c>
      <c r="AA46" s="22">
        <f t="shared" si="0"/>
        <v>93</v>
      </c>
      <c r="AB46" s="26"/>
      <c r="AC46" s="19">
        <v>0</v>
      </c>
      <c r="AD46" s="38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1</v>
      </c>
      <c r="AJ46" s="19">
        <v>0</v>
      </c>
      <c r="AK46" s="19">
        <v>0</v>
      </c>
    </row>
    <row r="47" spans="1:37" ht="17" customHeight="1" x14ac:dyDescent="0.3">
      <c r="A47" s="17" t="s">
        <v>35</v>
      </c>
      <c r="B47" s="18">
        <v>3</v>
      </c>
      <c r="C47" s="18" t="s">
        <v>32</v>
      </c>
      <c r="D47" s="18">
        <v>10</v>
      </c>
      <c r="E47" s="19">
        <v>4</v>
      </c>
      <c r="F47" s="19">
        <v>30</v>
      </c>
      <c r="G47" s="19">
        <v>0</v>
      </c>
      <c r="H47" s="19">
        <v>0</v>
      </c>
      <c r="I47" s="19">
        <v>0</v>
      </c>
      <c r="J47" s="19">
        <v>18</v>
      </c>
      <c r="K47" s="19">
        <v>0</v>
      </c>
      <c r="L47" s="19">
        <v>0</v>
      </c>
      <c r="M47" s="19">
        <v>0</v>
      </c>
      <c r="N47" s="19">
        <v>0</v>
      </c>
      <c r="O47" s="19">
        <v>4</v>
      </c>
      <c r="P47" s="19">
        <v>4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56</v>
      </c>
      <c r="Z47" s="35">
        <v>0</v>
      </c>
      <c r="AA47" s="22">
        <f t="shared" si="0"/>
        <v>116</v>
      </c>
      <c r="AB47" s="26"/>
      <c r="AC47" s="19">
        <v>0</v>
      </c>
      <c r="AD47" s="38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1</v>
      </c>
      <c r="AJ47" s="19">
        <v>0</v>
      </c>
      <c r="AK47" s="19">
        <v>0</v>
      </c>
    </row>
    <row r="48" spans="1:37" ht="17" customHeight="1" x14ac:dyDescent="0.3">
      <c r="A48" s="17" t="s">
        <v>36</v>
      </c>
      <c r="B48" s="18">
        <v>3</v>
      </c>
      <c r="C48" s="18" t="s">
        <v>32</v>
      </c>
      <c r="D48" s="18">
        <v>11</v>
      </c>
      <c r="E48" s="19">
        <v>2</v>
      </c>
      <c r="F48" s="19">
        <v>0</v>
      </c>
      <c r="G48" s="19">
        <v>0</v>
      </c>
      <c r="H48" s="19">
        <v>54</v>
      </c>
      <c r="I48" s="19">
        <v>0</v>
      </c>
      <c r="J48" s="19">
        <v>12</v>
      </c>
      <c r="K48" s="19">
        <v>0</v>
      </c>
      <c r="L48" s="19">
        <v>0</v>
      </c>
      <c r="M48" s="19">
        <v>8</v>
      </c>
      <c r="N48" s="19">
        <v>0</v>
      </c>
      <c r="O48" s="19">
        <v>64</v>
      </c>
      <c r="P48" s="19">
        <v>5</v>
      </c>
      <c r="Q48" s="19">
        <v>15</v>
      </c>
      <c r="R48" s="19">
        <v>0</v>
      </c>
      <c r="S48" s="19">
        <v>0</v>
      </c>
      <c r="T48" s="19">
        <v>0</v>
      </c>
      <c r="U48" s="19">
        <v>0</v>
      </c>
      <c r="V48" s="19">
        <v>4</v>
      </c>
      <c r="W48" s="19">
        <v>0</v>
      </c>
      <c r="X48" s="19">
        <v>0</v>
      </c>
      <c r="Y48" s="19">
        <v>6</v>
      </c>
      <c r="Z48" s="35">
        <v>0</v>
      </c>
      <c r="AA48" s="22">
        <f t="shared" si="0"/>
        <v>170</v>
      </c>
      <c r="AB48" s="26"/>
      <c r="AC48" s="19">
        <v>0</v>
      </c>
      <c r="AD48" s="38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</row>
    <row r="49" spans="1:37" ht="17" customHeight="1" x14ac:dyDescent="0.3">
      <c r="A49" s="17" t="s">
        <v>36</v>
      </c>
      <c r="B49" s="18">
        <v>3</v>
      </c>
      <c r="C49" s="18" t="s">
        <v>32</v>
      </c>
      <c r="D49" s="18">
        <v>12</v>
      </c>
      <c r="E49" s="19">
        <v>0</v>
      </c>
      <c r="F49" s="19">
        <v>0</v>
      </c>
      <c r="G49" s="19">
        <v>0</v>
      </c>
      <c r="H49" s="19">
        <v>36</v>
      </c>
      <c r="I49" s="19">
        <v>0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21</v>
      </c>
      <c r="P49" s="19">
        <v>58</v>
      </c>
      <c r="Q49" s="19">
        <v>16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11</v>
      </c>
      <c r="Z49" s="35">
        <v>0</v>
      </c>
      <c r="AA49" s="22">
        <f t="shared" si="0"/>
        <v>144</v>
      </c>
      <c r="AB49" s="26"/>
      <c r="AC49" s="19">
        <v>0</v>
      </c>
      <c r="AD49" s="38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</row>
    <row r="50" spans="1:37" ht="17" customHeight="1" x14ac:dyDescent="0.3">
      <c r="A50" s="17" t="s">
        <v>37</v>
      </c>
      <c r="B50" s="18">
        <v>3</v>
      </c>
      <c r="C50" s="18" t="s">
        <v>32</v>
      </c>
      <c r="D50" s="18">
        <v>13</v>
      </c>
      <c r="E50" s="19">
        <v>5</v>
      </c>
      <c r="F50" s="19">
        <v>0</v>
      </c>
      <c r="G50" s="19">
        <v>2</v>
      </c>
      <c r="H50" s="19">
        <v>95</v>
      </c>
      <c r="I50" s="19">
        <v>0</v>
      </c>
      <c r="J50" s="19">
        <v>0</v>
      </c>
      <c r="K50" s="19">
        <v>0</v>
      </c>
      <c r="L50" s="19">
        <v>0</v>
      </c>
      <c r="M50" s="19">
        <v>2</v>
      </c>
      <c r="N50" s="19">
        <v>0</v>
      </c>
      <c r="O50" s="19">
        <v>40</v>
      </c>
      <c r="P50" s="19">
        <v>0</v>
      </c>
      <c r="Q50" s="19">
        <v>3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</v>
      </c>
      <c r="Z50" s="35">
        <v>0</v>
      </c>
      <c r="AA50" s="22">
        <f t="shared" si="0"/>
        <v>152</v>
      </c>
      <c r="AB50" s="26"/>
      <c r="AC50" s="19">
        <v>0</v>
      </c>
      <c r="AD50" s="38">
        <v>1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1</v>
      </c>
    </row>
    <row r="51" spans="1:37" ht="17" customHeight="1" x14ac:dyDescent="0.3">
      <c r="A51" s="17" t="s">
        <v>37</v>
      </c>
      <c r="B51" s="18">
        <v>3</v>
      </c>
      <c r="C51" s="18" t="s">
        <v>32</v>
      </c>
      <c r="D51" s="18">
        <v>14</v>
      </c>
      <c r="E51" s="19">
        <v>0.2</v>
      </c>
      <c r="F51" s="19">
        <v>0</v>
      </c>
      <c r="G51" s="19">
        <v>2</v>
      </c>
      <c r="H51" s="19">
        <v>100</v>
      </c>
      <c r="I51" s="19">
        <v>0</v>
      </c>
      <c r="J51" s="19">
        <v>1</v>
      </c>
      <c r="K51" s="19">
        <v>0</v>
      </c>
      <c r="L51" s="19">
        <v>0</v>
      </c>
      <c r="M51" s="19">
        <v>38</v>
      </c>
      <c r="N51" s="19">
        <v>0</v>
      </c>
      <c r="O51" s="19">
        <v>27</v>
      </c>
      <c r="P51" s="19">
        <v>0</v>
      </c>
      <c r="Q51" s="19">
        <v>5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35">
        <v>0</v>
      </c>
      <c r="AA51" s="22">
        <f t="shared" si="0"/>
        <v>173.2</v>
      </c>
      <c r="AB51" s="26"/>
      <c r="AC51" s="19">
        <v>0</v>
      </c>
      <c r="AD51" s="38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</row>
    <row r="52" spans="1:37" ht="17" customHeight="1" x14ac:dyDescent="0.3">
      <c r="A52" s="17" t="s">
        <v>37</v>
      </c>
      <c r="B52" s="18">
        <v>3</v>
      </c>
      <c r="C52" s="18" t="s">
        <v>32</v>
      </c>
      <c r="D52" s="18">
        <v>15</v>
      </c>
      <c r="E52" s="19">
        <v>2</v>
      </c>
      <c r="F52" s="19">
        <v>0</v>
      </c>
      <c r="G52" s="19">
        <v>0</v>
      </c>
      <c r="H52" s="19">
        <v>56</v>
      </c>
      <c r="I52" s="19">
        <v>0</v>
      </c>
      <c r="J52" s="19">
        <v>0.1</v>
      </c>
      <c r="K52" s="19">
        <v>0</v>
      </c>
      <c r="L52" s="19">
        <v>0</v>
      </c>
      <c r="M52" s="19">
        <v>34</v>
      </c>
      <c r="N52" s="19">
        <v>0</v>
      </c>
      <c r="O52" s="19">
        <v>62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10</v>
      </c>
      <c r="Z52" s="35">
        <v>0</v>
      </c>
      <c r="AA52" s="22">
        <f t="shared" si="0"/>
        <v>164.1</v>
      </c>
      <c r="AB52" s="26"/>
      <c r="AC52" s="19">
        <v>0</v>
      </c>
      <c r="AD52" s="38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</row>
    <row r="53" spans="1:37" ht="17" customHeight="1" x14ac:dyDescent="0.3">
      <c r="A53" s="17" t="s">
        <v>38</v>
      </c>
      <c r="B53" s="18">
        <v>3</v>
      </c>
      <c r="C53" s="18" t="s">
        <v>32</v>
      </c>
      <c r="D53" s="18">
        <v>16</v>
      </c>
      <c r="E53" s="19">
        <v>20</v>
      </c>
      <c r="F53" s="19">
        <v>0</v>
      </c>
      <c r="G53" s="19">
        <v>0</v>
      </c>
      <c r="H53" s="19">
        <v>0</v>
      </c>
      <c r="I53" s="19">
        <v>0</v>
      </c>
      <c r="J53" s="19">
        <v>1</v>
      </c>
      <c r="K53" s="19">
        <v>0</v>
      </c>
      <c r="L53" s="19">
        <v>0</v>
      </c>
      <c r="M53" s="19">
        <v>0</v>
      </c>
      <c r="N53" s="19">
        <v>0</v>
      </c>
      <c r="O53" s="19">
        <v>40</v>
      </c>
      <c r="P53" s="19">
        <v>9</v>
      </c>
      <c r="Q53" s="19">
        <v>10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20</v>
      </c>
      <c r="Z53" s="35">
        <v>0</v>
      </c>
      <c r="AA53" s="22">
        <f t="shared" si="0"/>
        <v>100</v>
      </c>
      <c r="AB53" s="26"/>
      <c r="AC53" s="19">
        <v>0</v>
      </c>
      <c r="AD53" s="38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</row>
    <row r="54" spans="1:37" ht="17" customHeight="1" x14ac:dyDescent="0.3">
      <c r="A54" s="17" t="s">
        <v>38</v>
      </c>
      <c r="B54" s="18">
        <v>3</v>
      </c>
      <c r="C54" s="18" t="s">
        <v>32</v>
      </c>
      <c r="D54" s="18">
        <v>17</v>
      </c>
      <c r="E54" s="19">
        <v>10</v>
      </c>
      <c r="F54" s="19">
        <v>0</v>
      </c>
      <c r="G54" s="19">
        <v>0</v>
      </c>
      <c r="H54" s="19">
        <v>0</v>
      </c>
      <c r="I54" s="19">
        <v>0</v>
      </c>
      <c r="J54" s="19">
        <v>20</v>
      </c>
      <c r="K54" s="19">
        <v>0</v>
      </c>
      <c r="L54" s="19">
        <v>0</v>
      </c>
      <c r="M54" s="19">
        <v>0</v>
      </c>
      <c r="N54" s="19">
        <v>0</v>
      </c>
      <c r="O54" s="19">
        <v>30</v>
      </c>
      <c r="P54" s="19">
        <v>0</v>
      </c>
      <c r="Q54" s="19">
        <v>20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20</v>
      </c>
      <c r="Z54" s="35">
        <v>0</v>
      </c>
      <c r="AA54" s="22">
        <f t="shared" si="0"/>
        <v>100</v>
      </c>
      <c r="AB54" s="26"/>
      <c r="AC54" s="19">
        <v>0</v>
      </c>
      <c r="AD54" s="38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</row>
    <row r="55" spans="1:37" ht="17" customHeight="1" x14ac:dyDescent="0.3">
      <c r="A55" s="17" t="s">
        <v>38</v>
      </c>
      <c r="B55" s="18">
        <v>3</v>
      </c>
      <c r="C55" s="18" t="s">
        <v>32</v>
      </c>
      <c r="D55" s="18">
        <v>18</v>
      </c>
      <c r="E55" s="19">
        <v>2</v>
      </c>
      <c r="F55" s="19">
        <v>0</v>
      </c>
      <c r="G55" s="19">
        <v>0</v>
      </c>
      <c r="H55" s="19">
        <v>30</v>
      </c>
      <c r="I55" s="19">
        <v>0</v>
      </c>
      <c r="J55" s="19">
        <v>8</v>
      </c>
      <c r="K55" s="19">
        <v>0</v>
      </c>
      <c r="L55" s="19">
        <v>0</v>
      </c>
      <c r="M55" s="19">
        <v>0</v>
      </c>
      <c r="N55" s="19">
        <v>0</v>
      </c>
      <c r="O55" s="19">
        <v>30</v>
      </c>
      <c r="P55" s="19">
        <v>8</v>
      </c>
      <c r="Q55" s="19">
        <v>16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2.5</v>
      </c>
      <c r="X55" s="19">
        <v>0</v>
      </c>
      <c r="Y55" s="19">
        <v>30</v>
      </c>
      <c r="Z55" s="35">
        <v>0</v>
      </c>
      <c r="AA55" s="22">
        <f t="shared" si="0"/>
        <v>126.5</v>
      </c>
      <c r="AB55" s="26"/>
      <c r="AC55" s="19">
        <v>0</v>
      </c>
      <c r="AD55" s="38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</row>
    <row r="56" spans="1:37" ht="17" customHeight="1" x14ac:dyDescent="0.3">
      <c r="A56" s="17" t="s">
        <v>39</v>
      </c>
      <c r="B56" s="18">
        <v>3</v>
      </c>
      <c r="C56" s="18" t="s">
        <v>32</v>
      </c>
      <c r="D56" s="18">
        <v>19</v>
      </c>
      <c r="E56" s="19">
        <v>2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24</v>
      </c>
      <c r="P56" s="19">
        <v>25</v>
      </c>
      <c r="Q56" s="19">
        <v>15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25</v>
      </c>
      <c r="Z56" s="35">
        <v>0</v>
      </c>
      <c r="AA56" s="22">
        <f t="shared" si="0"/>
        <v>91</v>
      </c>
      <c r="AB56" s="26"/>
      <c r="AC56" s="19">
        <v>1</v>
      </c>
      <c r="AD56" s="38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</row>
    <row r="57" spans="1:37" ht="17" customHeight="1" x14ac:dyDescent="0.3">
      <c r="A57" s="17" t="s">
        <v>39</v>
      </c>
      <c r="B57" s="18">
        <v>3</v>
      </c>
      <c r="C57" s="18" t="s">
        <v>32</v>
      </c>
      <c r="D57" s="18">
        <v>20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4</v>
      </c>
      <c r="K57" s="19">
        <v>0</v>
      </c>
      <c r="L57" s="19">
        <v>0</v>
      </c>
      <c r="M57" s="19">
        <v>20</v>
      </c>
      <c r="N57" s="19">
        <v>0</v>
      </c>
      <c r="O57" s="19">
        <v>35</v>
      </c>
      <c r="P57" s="19">
        <v>0</v>
      </c>
      <c r="Q57" s="19">
        <v>10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30</v>
      </c>
      <c r="Z57" s="35">
        <v>0</v>
      </c>
      <c r="AA57" s="22">
        <f t="shared" si="0"/>
        <v>99</v>
      </c>
      <c r="AB57" s="26"/>
      <c r="AC57" s="19">
        <v>0</v>
      </c>
      <c r="AD57" s="38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</row>
    <row r="58" spans="1:37" ht="17" customHeight="1" x14ac:dyDescent="0.3">
      <c r="A58" s="17" t="s">
        <v>39</v>
      </c>
      <c r="B58" s="18">
        <v>3</v>
      </c>
      <c r="C58" s="18" t="s">
        <v>32</v>
      </c>
      <c r="D58" s="18">
        <v>21</v>
      </c>
      <c r="E58" s="19">
        <v>0</v>
      </c>
      <c r="F58" s="19">
        <v>10</v>
      </c>
      <c r="G58" s="19">
        <v>0</v>
      </c>
      <c r="H58" s="19">
        <v>0</v>
      </c>
      <c r="I58" s="19">
        <v>0</v>
      </c>
      <c r="J58" s="19">
        <v>15</v>
      </c>
      <c r="K58" s="19">
        <v>0</v>
      </c>
      <c r="L58" s="19">
        <v>0</v>
      </c>
      <c r="M58" s="19">
        <v>15</v>
      </c>
      <c r="N58" s="19">
        <v>0</v>
      </c>
      <c r="O58" s="19">
        <v>40</v>
      </c>
      <c r="P58" s="19">
        <v>0</v>
      </c>
      <c r="Q58" s="19">
        <v>5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0.7</v>
      </c>
      <c r="X58" s="19">
        <v>0</v>
      </c>
      <c r="Y58" s="19">
        <v>20</v>
      </c>
      <c r="Z58" s="35">
        <v>0</v>
      </c>
      <c r="AA58" s="22">
        <f t="shared" si="0"/>
        <v>105.7</v>
      </c>
      <c r="AB58" s="26"/>
      <c r="AC58" s="19">
        <v>3</v>
      </c>
      <c r="AD58" s="38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2</v>
      </c>
    </row>
    <row r="59" spans="1:37" ht="17" customHeight="1" x14ac:dyDescent="0.3">
      <c r="A59" s="17" t="s">
        <v>40</v>
      </c>
      <c r="B59" s="18">
        <v>3</v>
      </c>
      <c r="C59" s="18" t="s">
        <v>32</v>
      </c>
      <c r="D59" s="18">
        <v>22</v>
      </c>
      <c r="E59" s="19">
        <v>1</v>
      </c>
      <c r="F59" s="19">
        <v>0</v>
      </c>
      <c r="G59" s="19">
        <v>0</v>
      </c>
      <c r="H59" s="19">
        <v>30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28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53</v>
      </c>
      <c r="Z59" s="35">
        <v>0</v>
      </c>
      <c r="AA59" s="22">
        <f t="shared" si="0"/>
        <v>112</v>
      </c>
      <c r="AB59" s="26"/>
      <c r="AC59" s="19">
        <v>0</v>
      </c>
      <c r="AD59" s="38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</row>
    <row r="60" spans="1:37" ht="17" customHeight="1" x14ac:dyDescent="0.3">
      <c r="A60" s="17" t="s">
        <v>40</v>
      </c>
      <c r="B60" s="18">
        <v>3</v>
      </c>
      <c r="C60" s="18" t="s">
        <v>32</v>
      </c>
      <c r="D60" s="18">
        <v>23</v>
      </c>
      <c r="E60" s="19">
        <v>1</v>
      </c>
      <c r="F60" s="19">
        <v>0</v>
      </c>
      <c r="G60" s="19">
        <v>0</v>
      </c>
      <c r="H60" s="19">
        <v>41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58</v>
      </c>
      <c r="P60" s="19">
        <v>0</v>
      </c>
      <c r="Q60" s="19">
        <v>7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15</v>
      </c>
      <c r="Z60" s="35">
        <v>0</v>
      </c>
      <c r="AA60" s="22">
        <f t="shared" si="0"/>
        <v>122</v>
      </c>
      <c r="AB60" s="26"/>
      <c r="AC60" s="19">
        <v>0</v>
      </c>
      <c r="AD60" s="38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</row>
    <row r="61" spans="1:37" ht="17" customHeight="1" x14ac:dyDescent="0.3">
      <c r="A61" s="17" t="s">
        <v>40</v>
      </c>
      <c r="B61" s="18">
        <v>3</v>
      </c>
      <c r="C61" s="18" t="s">
        <v>32</v>
      </c>
      <c r="D61" s="18">
        <v>24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 t="s">
        <v>41</v>
      </c>
      <c r="N61" s="19">
        <v>0</v>
      </c>
      <c r="O61" s="19">
        <v>22</v>
      </c>
      <c r="P61" s="19">
        <v>0</v>
      </c>
      <c r="Q61" s="19">
        <v>4</v>
      </c>
      <c r="R61" s="19">
        <v>0</v>
      </c>
      <c r="S61" s="19">
        <v>72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3</v>
      </c>
      <c r="Z61" s="35">
        <v>0</v>
      </c>
      <c r="AA61" s="22">
        <f t="shared" si="0"/>
        <v>101</v>
      </c>
      <c r="AB61" s="26"/>
      <c r="AC61" s="19">
        <v>0</v>
      </c>
      <c r="AD61" s="38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1</v>
      </c>
      <c r="AK61" s="19">
        <v>0</v>
      </c>
    </row>
    <row r="62" spans="1:37" ht="17" customHeight="1" x14ac:dyDescent="0.3">
      <c r="A62" s="17" t="s">
        <v>42</v>
      </c>
      <c r="B62" s="18">
        <v>3</v>
      </c>
      <c r="C62" s="18" t="s">
        <v>32</v>
      </c>
      <c r="D62" s="18">
        <v>25</v>
      </c>
      <c r="E62" s="19">
        <v>7</v>
      </c>
      <c r="F62" s="19">
        <v>30</v>
      </c>
      <c r="G62" s="19">
        <v>0</v>
      </c>
      <c r="H62" s="19">
        <v>30</v>
      </c>
      <c r="I62" s="19">
        <v>0</v>
      </c>
      <c r="J62" s="19">
        <v>0</v>
      </c>
      <c r="K62" s="19">
        <v>0</v>
      </c>
      <c r="L62" s="19">
        <v>0</v>
      </c>
      <c r="M62" s="19">
        <v>2</v>
      </c>
      <c r="N62" s="19">
        <v>0</v>
      </c>
      <c r="O62" s="19">
        <v>12</v>
      </c>
      <c r="P62" s="19">
        <v>0</v>
      </c>
      <c r="Q62" s="19">
        <v>10</v>
      </c>
      <c r="R62" s="19">
        <v>0</v>
      </c>
      <c r="S62" s="19">
        <v>80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10</v>
      </c>
      <c r="Z62" s="35">
        <v>2</v>
      </c>
      <c r="AA62" s="22">
        <f t="shared" si="0"/>
        <v>183</v>
      </c>
      <c r="AB62" s="26"/>
      <c r="AC62" s="19">
        <v>0</v>
      </c>
      <c r="AD62" s="38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2</v>
      </c>
    </row>
    <row r="63" spans="1:37" ht="17" customHeight="1" x14ac:dyDescent="0.3">
      <c r="A63" s="17" t="s">
        <v>42</v>
      </c>
      <c r="B63" s="18">
        <v>3</v>
      </c>
      <c r="C63" s="18" t="s">
        <v>32</v>
      </c>
      <c r="D63" s="18">
        <v>26</v>
      </c>
      <c r="E63" s="19">
        <v>12</v>
      </c>
      <c r="F63" s="19">
        <v>10</v>
      </c>
      <c r="G63" s="19">
        <v>0</v>
      </c>
      <c r="H63" s="19">
        <v>30</v>
      </c>
      <c r="I63" s="19">
        <v>0</v>
      </c>
      <c r="J63" s="19">
        <v>0</v>
      </c>
      <c r="K63" s="19">
        <v>0</v>
      </c>
      <c r="L63" s="19">
        <v>0</v>
      </c>
      <c r="M63" s="19">
        <v>10</v>
      </c>
      <c r="N63" s="19">
        <v>0</v>
      </c>
      <c r="O63" s="19">
        <v>20</v>
      </c>
      <c r="P63" s="19">
        <v>0</v>
      </c>
      <c r="Q63" s="19">
        <v>8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40</v>
      </c>
      <c r="Z63" s="35">
        <v>0</v>
      </c>
      <c r="AA63" s="22">
        <f t="shared" si="0"/>
        <v>130</v>
      </c>
      <c r="AB63" s="26"/>
      <c r="AC63" s="19">
        <v>2</v>
      </c>
      <c r="AD63" s="38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1</v>
      </c>
    </row>
    <row r="64" spans="1:37" ht="17" customHeight="1" x14ac:dyDescent="0.3">
      <c r="A64" s="17" t="s">
        <v>43</v>
      </c>
      <c r="B64" s="18">
        <v>3</v>
      </c>
      <c r="C64" s="18" t="s">
        <v>32</v>
      </c>
      <c r="D64" s="18">
        <v>27</v>
      </c>
      <c r="E64" s="19">
        <v>0</v>
      </c>
      <c r="F64" s="19">
        <v>4</v>
      </c>
      <c r="G64" s="19">
        <v>0</v>
      </c>
      <c r="H64" s="19">
        <v>40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65</v>
      </c>
      <c r="P64" s="19">
        <v>0</v>
      </c>
      <c r="Q64" s="19">
        <v>1</v>
      </c>
      <c r="R64" s="19">
        <v>0</v>
      </c>
      <c r="S64" s="19">
        <v>30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34</v>
      </c>
      <c r="Z64" s="35">
        <v>0</v>
      </c>
      <c r="AA64" s="22">
        <f t="shared" si="0"/>
        <v>174</v>
      </c>
      <c r="AB64" s="26"/>
      <c r="AC64" s="19">
        <v>0</v>
      </c>
      <c r="AD64" s="38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</row>
    <row r="65" spans="1:37" ht="17" customHeight="1" x14ac:dyDescent="0.3">
      <c r="A65" s="17" t="s">
        <v>43</v>
      </c>
      <c r="B65" s="18">
        <v>3</v>
      </c>
      <c r="C65" s="18" t="s">
        <v>32</v>
      </c>
      <c r="D65" s="18">
        <v>28</v>
      </c>
      <c r="E65" s="19">
        <v>11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4</v>
      </c>
      <c r="N65" s="19">
        <v>0</v>
      </c>
      <c r="O65" s="19">
        <v>35</v>
      </c>
      <c r="P65" s="19">
        <v>0</v>
      </c>
      <c r="Q65" s="19">
        <v>22</v>
      </c>
      <c r="R65" s="19">
        <v>0</v>
      </c>
      <c r="S65" s="19">
        <v>25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35">
        <v>0</v>
      </c>
      <c r="AA65" s="22">
        <f t="shared" si="0"/>
        <v>97</v>
      </c>
      <c r="AB65" s="26"/>
      <c r="AC65" s="19">
        <v>0</v>
      </c>
      <c r="AD65" s="38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1</v>
      </c>
      <c r="AJ65" s="19">
        <v>0</v>
      </c>
      <c r="AK65" s="19">
        <v>0</v>
      </c>
    </row>
    <row r="66" spans="1:37" ht="17" customHeight="1" x14ac:dyDescent="0.3">
      <c r="A66" s="17" t="s">
        <v>43</v>
      </c>
      <c r="B66" s="18">
        <v>3</v>
      </c>
      <c r="C66" s="18" t="s">
        <v>32</v>
      </c>
      <c r="D66" s="18">
        <v>29</v>
      </c>
      <c r="E66" s="19">
        <v>15</v>
      </c>
      <c r="F66" s="19">
        <v>0</v>
      </c>
      <c r="G66" s="19">
        <v>0</v>
      </c>
      <c r="H66" s="19">
        <v>10</v>
      </c>
      <c r="I66" s="19">
        <v>0</v>
      </c>
      <c r="J66" s="19">
        <v>8</v>
      </c>
      <c r="K66" s="19">
        <v>0</v>
      </c>
      <c r="L66" s="19">
        <v>0</v>
      </c>
      <c r="M66" s="19">
        <v>6</v>
      </c>
      <c r="N66" s="19">
        <v>0</v>
      </c>
      <c r="O66" s="19">
        <v>40</v>
      </c>
      <c r="P66" s="19">
        <v>31</v>
      </c>
      <c r="Q66" s="19">
        <v>5</v>
      </c>
      <c r="R66" s="19">
        <v>0</v>
      </c>
      <c r="S66" s="19">
        <v>20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35">
        <v>0</v>
      </c>
      <c r="AA66" s="22">
        <f t="shared" si="0"/>
        <v>135</v>
      </c>
      <c r="AB66" s="26"/>
      <c r="AC66" s="19">
        <v>0</v>
      </c>
      <c r="AD66" s="38">
        <v>0</v>
      </c>
      <c r="AE66" s="19">
        <v>0</v>
      </c>
      <c r="AF66" s="19">
        <v>2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</row>
    <row r="67" spans="1:37" ht="17" customHeight="1" x14ac:dyDescent="0.3">
      <c r="A67" s="17" t="s">
        <v>44</v>
      </c>
      <c r="B67" s="18">
        <v>3</v>
      </c>
      <c r="C67" s="18" t="s">
        <v>32</v>
      </c>
      <c r="D67" s="18">
        <v>30</v>
      </c>
      <c r="E67" s="19">
        <v>0.1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46</v>
      </c>
      <c r="Q67" s="19">
        <v>5</v>
      </c>
      <c r="R67" s="19">
        <v>0</v>
      </c>
      <c r="S67" s="19">
        <v>49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35">
        <v>0</v>
      </c>
      <c r="AA67" s="22">
        <f t="shared" ref="AA67:AA109" si="1">SUM(E67:Z67)</f>
        <v>100.1</v>
      </c>
      <c r="AB67" s="26"/>
      <c r="AC67" s="19">
        <v>1</v>
      </c>
      <c r="AD67" s="38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</row>
    <row r="68" spans="1:37" ht="17" customHeight="1" x14ac:dyDescent="0.3">
      <c r="A68" s="17" t="s">
        <v>44</v>
      </c>
      <c r="B68" s="18">
        <v>3</v>
      </c>
      <c r="C68" s="18" t="s">
        <v>32</v>
      </c>
      <c r="D68" s="18">
        <v>31</v>
      </c>
      <c r="E68" s="19">
        <v>2</v>
      </c>
      <c r="F68" s="19">
        <v>0</v>
      </c>
      <c r="G68" s="19">
        <v>0</v>
      </c>
      <c r="H68" s="19">
        <v>11</v>
      </c>
      <c r="I68" s="19">
        <v>0</v>
      </c>
      <c r="J68" s="19">
        <v>2</v>
      </c>
      <c r="K68" s="19">
        <v>0</v>
      </c>
      <c r="L68" s="19">
        <v>0</v>
      </c>
      <c r="M68" s="19">
        <v>3</v>
      </c>
      <c r="N68" s="19">
        <v>0</v>
      </c>
      <c r="O68" s="19">
        <v>27</v>
      </c>
      <c r="P68" s="19">
        <v>15</v>
      </c>
      <c r="Q68" s="19">
        <v>10</v>
      </c>
      <c r="R68" s="19">
        <v>0</v>
      </c>
      <c r="S68" s="19">
        <v>28</v>
      </c>
      <c r="T68" s="19">
        <v>0</v>
      </c>
      <c r="U68" s="19">
        <v>2</v>
      </c>
      <c r="V68" s="19">
        <v>0</v>
      </c>
      <c r="W68" s="19">
        <v>0</v>
      </c>
      <c r="X68" s="19">
        <v>0</v>
      </c>
      <c r="Y68" s="19">
        <v>0</v>
      </c>
      <c r="Z68" s="35">
        <v>0</v>
      </c>
      <c r="AA68" s="22">
        <f t="shared" si="1"/>
        <v>100</v>
      </c>
      <c r="AB68" s="26"/>
      <c r="AC68" s="19">
        <v>0</v>
      </c>
      <c r="AD68" s="38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</row>
    <row r="69" spans="1:37" ht="17" customHeight="1" x14ac:dyDescent="0.3">
      <c r="A69" s="17" t="s">
        <v>44</v>
      </c>
      <c r="B69" s="18">
        <v>3</v>
      </c>
      <c r="C69" s="18" t="s">
        <v>32</v>
      </c>
      <c r="D69" s="18">
        <v>32</v>
      </c>
      <c r="E69" s="19">
        <v>1</v>
      </c>
      <c r="F69" s="19">
        <v>0</v>
      </c>
      <c r="G69" s="19">
        <v>0</v>
      </c>
      <c r="H69" s="19">
        <v>10</v>
      </c>
      <c r="I69" s="19">
        <v>0</v>
      </c>
      <c r="J69" s="19">
        <v>5</v>
      </c>
      <c r="K69" s="19">
        <v>0</v>
      </c>
      <c r="L69" s="19">
        <v>0</v>
      </c>
      <c r="M69" s="19">
        <v>15</v>
      </c>
      <c r="N69" s="19">
        <v>0</v>
      </c>
      <c r="O69" s="19">
        <v>44</v>
      </c>
      <c r="P69" s="19">
        <v>0</v>
      </c>
      <c r="Q69" s="19">
        <v>1</v>
      </c>
      <c r="R69" s="19">
        <v>0</v>
      </c>
      <c r="S69" s="19">
        <v>25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35">
        <v>0</v>
      </c>
      <c r="AA69" s="22">
        <f t="shared" si="1"/>
        <v>101</v>
      </c>
      <c r="AB69" s="26"/>
      <c r="AC69" s="19">
        <v>0</v>
      </c>
      <c r="AD69" s="38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2</v>
      </c>
      <c r="AJ69" s="19">
        <v>0</v>
      </c>
      <c r="AK69" s="19">
        <v>0</v>
      </c>
    </row>
    <row r="70" spans="1:37" ht="17" customHeight="1" x14ac:dyDescent="0.3">
      <c r="A70" s="17" t="s">
        <v>45</v>
      </c>
      <c r="B70" s="18">
        <v>3</v>
      </c>
      <c r="C70" s="18" t="s">
        <v>32</v>
      </c>
      <c r="D70" s="18">
        <v>33</v>
      </c>
      <c r="E70" s="19">
        <v>0</v>
      </c>
      <c r="F70" s="19">
        <v>0</v>
      </c>
      <c r="G70" s="19">
        <v>0</v>
      </c>
      <c r="H70" s="19">
        <v>13</v>
      </c>
      <c r="I70" s="19">
        <v>0</v>
      </c>
      <c r="J70" s="19">
        <v>2</v>
      </c>
      <c r="K70" s="19">
        <v>0</v>
      </c>
      <c r="L70" s="19">
        <v>0</v>
      </c>
      <c r="M70" s="19">
        <v>0.1</v>
      </c>
      <c r="N70" s="19">
        <v>0</v>
      </c>
      <c r="O70" s="19">
        <v>55</v>
      </c>
      <c r="P70" s="19">
        <v>16</v>
      </c>
      <c r="Q70" s="19">
        <v>27</v>
      </c>
      <c r="R70" s="19">
        <v>0</v>
      </c>
      <c r="S70" s="19">
        <v>15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35">
        <v>0</v>
      </c>
      <c r="AA70" s="22">
        <f t="shared" si="1"/>
        <v>128.1</v>
      </c>
      <c r="AB70" s="26"/>
      <c r="AC70" s="19">
        <v>0</v>
      </c>
      <c r="AD70" s="38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1</v>
      </c>
      <c r="AJ70" s="19">
        <v>0</v>
      </c>
      <c r="AK70" s="19">
        <v>1</v>
      </c>
    </row>
    <row r="71" spans="1:37" ht="17" customHeight="1" x14ac:dyDescent="0.3">
      <c r="A71" s="17" t="s">
        <v>45</v>
      </c>
      <c r="B71" s="18">
        <v>3</v>
      </c>
      <c r="C71" s="18" t="s">
        <v>32</v>
      </c>
      <c r="D71" s="18">
        <v>34</v>
      </c>
      <c r="E71" s="19">
        <v>4</v>
      </c>
      <c r="F71" s="19">
        <v>2</v>
      </c>
      <c r="G71" s="19">
        <v>0</v>
      </c>
      <c r="H71" s="19">
        <v>32</v>
      </c>
      <c r="I71" s="19">
        <v>0</v>
      </c>
      <c r="J71" s="19">
        <v>0</v>
      </c>
      <c r="K71" s="19">
        <v>0</v>
      </c>
      <c r="L71" s="19">
        <v>0</v>
      </c>
      <c r="M71" s="19">
        <v>12</v>
      </c>
      <c r="N71" s="19">
        <v>0</v>
      </c>
      <c r="O71" s="19">
        <v>30</v>
      </c>
      <c r="P71" s="19">
        <v>3</v>
      </c>
      <c r="Q71" s="19">
        <v>2</v>
      </c>
      <c r="R71" s="19">
        <v>0</v>
      </c>
      <c r="S71" s="19">
        <v>18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35">
        <v>0</v>
      </c>
      <c r="AA71" s="22">
        <f t="shared" si="1"/>
        <v>103</v>
      </c>
      <c r="AB71" s="26"/>
      <c r="AC71" s="19">
        <v>1</v>
      </c>
      <c r="AD71" s="38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</row>
    <row r="72" spans="1:37" ht="17" customHeight="1" x14ac:dyDescent="0.3">
      <c r="A72" s="17" t="s">
        <v>46</v>
      </c>
      <c r="B72" s="18">
        <v>3</v>
      </c>
      <c r="C72" s="18" t="s">
        <v>32</v>
      </c>
      <c r="D72" s="18">
        <v>35</v>
      </c>
      <c r="E72" s="19">
        <v>1</v>
      </c>
      <c r="F72" s="19">
        <v>1</v>
      </c>
      <c r="G72" s="19">
        <v>0</v>
      </c>
      <c r="H72" s="19">
        <v>35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61</v>
      </c>
      <c r="P72" s="19">
        <v>0</v>
      </c>
      <c r="Q72" s="19">
        <v>12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10</v>
      </c>
      <c r="Z72" s="35">
        <v>0</v>
      </c>
      <c r="AA72" s="22">
        <f t="shared" si="1"/>
        <v>120</v>
      </c>
      <c r="AB72" s="26"/>
      <c r="AC72" s="19">
        <v>0</v>
      </c>
      <c r="AD72" s="38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</row>
    <row r="73" spans="1:37" ht="17" customHeight="1" x14ac:dyDescent="0.3">
      <c r="A73" s="17" t="s">
        <v>46</v>
      </c>
      <c r="B73" s="18">
        <v>3</v>
      </c>
      <c r="C73" s="18" t="s">
        <v>32</v>
      </c>
      <c r="D73" s="20">
        <v>36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1</v>
      </c>
      <c r="N73" s="19">
        <v>0</v>
      </c>
      <c r="O73" s="19">
        <v>20</v>
      </c>
      <c r="P73" s="19">
        <v>0</v>
      </c>
      <c r="Q73" s="19">
        <v>5</v>
      </c>
      <c r="R73" s="19">
        <v>0</v>
      </c>
      <c r="S73" s="19">
        <v>60</v>
      </c>
      <c r="T73" s="19">
        <v>0</v>
      </c>
      <c r="U73" s="19">
        <v>0</v>
      </c>
      <c r="V73" s="19">
        <v>0</v>
      </c>
      <c r="W73" s="19">
        <v>0.2</v>
      </c>
      <c r="X73" s="19">
        <v>0</v>
      </c>
      <c r="Y73" s="19">
        <v>16</v>
      </c>
      <c r="Z73" s="35">
        <v>0</v>
      </c>
      <c r="AA73" s="22">
        <f t="shared" si="1"/>
        <v>102.2</v>
      </c>
      <c r="AB73" s="26"/>
      <c r="AC73" s="19">
        <v>0</v>
      </c>
      <c r="AD73" s="38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</row>
    <row r="74" spans="1:37" ht="17" customHeight="1" x14ac:dyDescent="0.3">
      <c r="A74" s="15" t="s">
        <v>47</v>
      </c>
      <c r="B74" s="7">
        <v>2</v>
      </c>
      <c r="C74" s="7" t="s">
        <v>48</v>
      </c>
      <c r="D74" s="21">
        <v>1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26</v>
      </c>
      <c r="P74" s="16">
        <v>0</v>
      </c>
      <c r="Q74" s="16">
        <v>39</v>
      </c>
      <c r="R74" s="16">
        <v>0</v>
      </c>
      <c r="S74" s="16">
        <v>65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34">
        <v>0</v>
      </c>
      <c r="AA74" s="22">
        <f t="shared" si="1"/>
        <v>130</v>
      </c>
      <c r="AB74" s="22"/>
      <c r="AC74" s="16">
        <v>5</v>
      </c>
      <c r="AD74" s="37">
        <v>2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</row>
    <row r="75" spans="1:37" ht="17" customHeight="1" x14ac:dyDescent="0.3">
      <c r="A75" s="15" t="s">
        <v>47</v>
      </c>
      <c r="B75" s="7">
        <v>2</v>
      </c>
      <c r="C75" s="7" t="s">
        <v>48</v>
      </c>
      <c r="D75" s="21">
        <v>2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9</v>
      </c>
      <c r="N75" s="16">
        <v>0</v>
      </c>
      <c r="O75" s="16">
        <v>31</v>
      </c>
      <c r="P75" s="16">
        <v>0</v>
      </c>
      <c r="Q75" s="16">
        <v>28</v>
      </c>
      <c r="R75" s="16">
        <v>0</v>
      </c>
      <c r="S75" s="16">
        <v>48</v>
      </c>
      <c r="T75" s="16">
        <v>0</v>
      </c>
      <c r="U75" s="16">
        <v>4</v>
      </c>
      <c r="V75" s="16">
        <v>0</v>
      </c>
      <c r="W75" s="16">
        <v>0</v>
      </c>
      <c r="X75" s="16">
        <v>0</v>
      </c>
      <c r="Y75" s="16">
        <v>0</v>
      </c>
      <c r="Z75" s="34">
        <v>0</v>
      </c>
      <c r="AA75" s="22">
        <f t="shared" si="1"/>
        <v>120</v>
      </c>
      <c r="AB75" s="22"/>
      <c r="AC75" s="16">
        <v>8</v>
      </c>
      <c r="AD75" s="37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</row>
    <row r="76" spans="1:37" ht="17" customHeight="1" x14ac:dyDescent="0.3">
      <c r="A76" s="15" t="s">
        <v>47</v>
      </c>
      <c r="B76" s="7">
        <v>2</v>
      </c>
      <c r="C76" s="7" t="s">
        <v>48</v>
      </c>
      <c r="D76" s="21">
        <v>3</v>
      </c>
      <c r="E76" s="16">
        <v>0</v>
      </c>
      <c r="F76" s="16">
        <v>0</v>
      </c>
      <c r="G76" s="16">
        <v>6</v>
      </c>
      <c r="H76" s="16">
        <v>0</v>
      </c>
      <c r="I76" s="16">
        <v>0</v>
      </c>
      <c r="J76" s="16">
        <v>5</v>
      </c>
      <c r="K76" s="16">
        <v>0</v>
      </c>
      <c r="L76" s="16">
        <v>0</v>
      </c>
      <c r="M76" s="16">
        <v>12</v>
      </c>
      <c r="N76" s="16">
        <v>0</v>
      </c>
      <c r="O76" s="16">
        <v>8</v>
      </c>
      <c r="P76" s="16">
        <v>0</v>
      </c>
      <c r="Q76" s="16">
        <v>22</v>
      </c>
      <c r="R76" s="16">
        <v>0</v>
      </c>
      <c r="S76" s="16">
        <v>0</v>
      </c>
      <c r="T76" s="16">
        <v>4</v>
      </c>
      <c r="U76" s="16">
        <v>0</v>
      </c>
      <c r="V76" s="16">
        <v>0</v>
      </c>
      <c r="W76" s="16">
        <v>0</v>
      </c>
      <c r="X76" s="16">
        <v>0</v>
      </c>
      <c r="Y76" s="16">
        <v>45</v>
      </c>
      <c r="Z76" s="34">
        <v>8</v>
      </c>
      <c r="AA76" s="22">
        <f t="shared" si="1"/>
        <v>110</v>
      </c>
      <c r="AB76" s="22"/>
      <c r="AC76" s="16">
        <v>3</v>
      </c>
      <c r="AD76" s="37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</row>
    <row r="77" spans="1:37" ht="17" customHeight="1" x14ac:dyDescent="0.3">
      <c r="A77" s="15" t="s">
        <v>49</v>
      </c>
      <c r="B77" s="7">
        <v>2</v>
      </c>
      <c r="C77" s="7" t="s">
        <v>48</v>
      </c>
      <c r="D77" s="21">
        <v>4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32</v>
      </c>
      <c r="P77" s="16">
        <v>0</v>
      </c>
      <c r="Q77" s="16">
        <v>4</v>
      </c>
      <c r="R77" s="16">
        <v>0</v>
      </c>
      <c r="S77" s="16">
        <v>0</v>
      </c>
      <c r="T77" s="16">
        <v>22</v>
      </c>
      <c r="U77" s="16">
        <v>0</v>
      </c>
      <c r="V77" s="16">
        <v>0</v>
      </c>
      <c r="W77" s="16">
        <v>0</v>
      </c>
      <c r="X77" s="16">
        <v>0</v>
      </c>
      <c r="Y77" s="16">
        <v>49</v>
      </c>
      <c r="Z77" s="34">
        <v>0</v>
      </c>
      <c r="AA77" s="22">
        <f t="shared" si="1"/>
        <v>107</v>
      </c>
      <c r="AB77" s="22"/>
      <c r="AC77" s="16">
        <v>4</v>
      </c>
      <c r="AD77" s="37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</row>
    <row r="78" spans="1:37" ht="17" customHeight="1" x14ac:dyDescent="0.3">
      <c r="A78" s="15" t="s">
        <v>49</v>
      </c>
      <c r="B78" s="7">
        <v>2</v>
      </c>
      <c r="C78" s="7" t="s">
        <v>48</v>
      </c>
      <c r="D78" s="21">
        <v>5</v>
      </c>
      <c r="E78" s="16">
        <v>0</v>
      </c>
      <c r="F78" s="16">
        <v>0</v>
      </c>
      <c r="G78" s="16">
        <v>0</v>
      </c>
      <c r="H78" s="16">
        <v>56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18</v>
      </c>
      <c r="Q78" s="16">
        <v>16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2.5</v>
      </c>
      <c r="Y78" s="16">
        <v>0</v>
      </c>
      <c r="Z78" s="34">
        <v>15</v>
      </c>
      <c r="AA78" s="22">
        <f t="shared" si="1"/>
        <v>107.5</v>
      </c>
      <c r="AB78" s="22"/>
      <c r="AC78" s="16">
        <v>13</v>
      </c>
      <c r="AD78" s="37">
        <v>0</v>
      </c>
      <c r="AE78" s="16">
        <v>0</v>
      </c>
      <c r="AF78" s="16">
        <v>0</v>
      </c>
      <c r="AG78" s="16">
        <v>0</v>
      </c>
      <c r="AH78" s="16">
        <v>1</v>
      </c>
      <c r="AI78" s="16">
        <v>0</v>
      </c>
      <c r="AJ78" s="16">
        <v>0</v>
      </c>
      <c r="AK78" s="16">
        <v>0</v>
      </c>
    </row>
    <row r="79" spans="1:37" ht="17" customHeight="1" x14ac:dyDescent="0.3">
      <c r="A79" s="15" t="s">
        <v>50</v>
      </c>
      <c r="B79" s="7">
        <v>2</v>
      </c>
      <c r="C79" s="7" t="s">
        <v>48</v>
      </c>
      <c r="D79" s="21">
        <v>6</v>
      </c>
      <c r="E79" s="16">
        <v>0</v>
      </c>
      <c r="F79" s="16">
        <v>0</v>
      </c>
      <c r="G79" s="16">
        <v>0</v>
      </c>
      <c r="H79" s="16">
        <v>4</v>
      </c>
      <c r="I79" s="16">
        <v>0</v>
      </c>
      <c r="J79" s="16">
        <v>4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20</v>
      </c>
      <c r="Q79" s="16">
        <v>0</v>
      </c>
      <c r="R79" s="16">
        <v>0</v>
      </c>
      <c r="S79" s="16">
        <v>85</v>
      </c>
      <c r="T79" s="16">
        <v>0</v>
      </c>
      <c r="U79" s="16">
        <v>0</v>
      </c>
      <c r="V79" s="16">
        <v>0</v>
      </c>
      <c r="W79" s="16">
        <v>0</v>
      </c>
      <c r="X79" s="16">
        <v>8</v>
      </c>
      <c r="Y79" s="16">
        <v>0</v>
      </c>
      <c r="Z79" s="34">
        <v>0</v>
      </c>
      <c r="AA79" s="22">
        <f t="shared" si="1"/>
        <v>121</v>
      </c>
      <c r="AB79" s="22"/>
      <c r="AC79" s="16">
        <v>0</v>
      </c>
      <c r="AD79" s="37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3</v>
      </c>
      <c r="AJ79" s="16">
        <v>0</v>
      </c>
      <c r="AK79" s="16">
        <v>0</v>
      </c>
    </row>
    <row r="80" spans="1:37" ht="17" customHeight="1" x14ac:dyDescent="0.3">
      <c r="A80" s="15" t="s">
        <v>50</v>
      </c>
      <c r="B80" s="7">
        <v>2</v>
      </c>
      <c r="C80" s="7" t="s">
        <v>48</v>
      </c>
      <c r="D80" s="21">
        <v>7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25</v>
      </c>
      <c r="P80" s="16">
        <v>0</v>
      </c>
      <c r="Q80" s="16">
        <v>25</v>
      </c>
      <c r="R80" s="16">
        <v>0</v>
      </c>
      <c r="S80" s="16">
        <v>10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70</v>
      </c>
      <c r="Z80" s="34">
        <v>0</v>
      </c>
      <c r="AA80" s="22">
        <f t="shared" si="1"/>
        <v>130</v>
      </c>
      <c r="AB80" s="22"/>
      <c r="AC80" s="16">
        <v>0</v>
      </c>
      <c r="AD80" s="37">
        <v>2</v>
      </c>
      <c r="AE80" s="16">
        <v>0</v>
      </c>
      <c r="AF80" s="16">
        <v>0</v>
      </c>
      <c r="AG80" s="16">
        <v>0</v>
      </c>
      <c r="AH80" s="16">
        <v>0</v>
      </c>
      <c r="AI80" s="16">
        <v>3</v>
      </c>
      <c r="AJ80" s="16">
        <v>0</v>
      </c>
      <c r="AK80" s="16">
        <v>0</v>
      </c>
    </row>
    <row r="81" spans="1:37" ht="17" customHeight="1" x14ac:dyDescent="0.3">
      <c r="A81" s="15" t="s">
        <v>50</v>
      </c>
      <c r="B81" s="7">
        <v>2</v>
      </c>
      <c r="C81" s="7" t="s">
        <v>48</v>
      </c>
      <c r="D81" s="21">
        <v>8</v>
      </c>
      <c r="E81" s="16">
        <v>3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6</v>
      </c>
      <c r="P81" s="16">
        <v>0</v>
      </c>
      <c r="Q81" s="16">
        <v>30</v>
      </c>
      <c r="R81" s="16">
        <v>0</v>
      </c>
      <c r="S81" s="16">
        <v>60</v>
      </c>
      <c r="T81" s="16">
        <v>0</v>
      </c>
      <c r="U81" s="16">
        <v>10</v>
      </c>
      <c r="V81" s="16">
        <v>0</v>
      </c>
      <c r="W81" s="16">
        <v>0</v>
      </c>
      <c r="X81" s="16">
        <v>0</v>
      </c>
      <c r="Y81" s="16">
        <v>20</v>
      </c>
      <c r="Z81" s="34">
        <v>0</v>
      </c>
      <c r="AA81" s="22">
        <f t="shared" si="1"/>
        <v>129</v>
      </c>
      <c r="AB81" s="22"/>
      <c r="AC81" s="16">
        <v>0</v>
      </c>
      <c r="AD81" s="37">
        <v>0</v>
      </c>
      <c r="AE81" s="16">
        <v>0</v>
      </c>
      <c r="AF81" s="16">
        <v>5</v>
      </c>
      <c r="AG81" s="16">
        <v>0</v>
      </c>
      <c r="AH81" s="16">
        <v>0</v>
      </c>
      <c r="AI81" s="16">
        <v>3</v>
      </c>
      <c r="AJ81" s="16">
        <v>0</v>
      </c>
      <c r="AK81" s="16">
        <v>0</v>
      </c>
    </row>
    <row r="82" spans="1:37" ht="17" customHeight="1" x14ac:dyDescent="0.3">
      <c r="A82" s="15" t="s">
        <v>51</v>
      </c>
      <c r="B82" s="7">
        <v>2</v>
      </c>
      <c r="C82" s="7" t="s">
        <v>48</v>
      </c>
      <c r="D82" s="21">
        <v>9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4</v>
      </c>
      <c r="K82" s="16">
        <v>0</v>
      </c>
      <c r="L82" s="16">
        <v>0</v>
      </c>
      <c r="M82" s="16">
        <v>0</v>
      </c>
      <c r="N82" s="16">
        <v>0</v>
      </c>
      <c r="O82" s="16">
        <v>3</v>
      </c>
      <c r="P82" s="16">
        <v>0</v>
      </c>
      <c r="Q82" s="16">
        <v>28</v>
      </c>
      <c r="R82" s="16">
        <v>0</v>
      </c>
      <c r="S82" s="16">
        <v>20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80</v>
      </c>
      <c r="Z82" s="34">
        <v>0</v>
      </c>
      <c r="AA82" s="22">
        <f t="shared" si="1"/>
        <v>135</v>
      </c>
      <c r="AB82" s="22"/>
      <c r="AC82" s="16">
        <v>0</v>
      </c>
      <c r="AD82" s="37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18</v>
      </c>
      <c r="AJ82" s="16">
        <v>0</v>
      </c>
      <c r="AK82" s="16">
        <v>0</v>
      </c>
    </row>
    <row r="83" spans="1:37" ht="17" customHeight="1" x14ac:dyDescent="0.3">
      <c r="A83" s="15" t="s">
        <v>51</v>
      </c>
      <c r="B83" s="7">
        <v>2</v>
      </c>
      <c r="C83" s="7" t="s">
        <v>48</v>
      </c>
      <c r="D83" s="21">
        <v>10</v>
      </c>
      <c r="E83" s="16">
        <v>0</v>
      </c>
      <c r="F83" s="16">
        <v>0</v>
      </c>
      <c r="G83" s="16">
        <v>0</v>
      </c>
      <c r="H83" s="16">
        <v>30</v>
      </c>
      <c r="I83" s="16">
        <v>0</v>
      </c>
      <c r="J83" s="16">
        <v>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30</v>
      </c>
      <c r="Q83" s="16">
        <v>45</v>
      </c>
      <c r="R83" s="16">
        <v>0</v>
      </c>
      <c r="S83" s="16">
        <v>70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34">
        <v>0</v>
      </c>
      <c r="AA83" s="22">
        <f t="shared" si="1"/>
        <v>179</v>
      </c>
      <c r="AB83" s="22"/>
      <c r="AC83" s="16">
        <v>1</v>
      </c>
      <c r="AD83" s="37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5</v>
      </c>
      <c r="AJ83" s="16">
        <v>0</v>
      </c>
      <c r="AK83" s="16">
        <v>1</v>
      </c>
    </row>
    <row r="84" spans="1:37" ht="17" customHeight="1" x14ac:dyDescent="0.3">
      <c r="A84" s="15" t="s">
        <v>52</v>
      </c>
      <c r="B84" s="7">
        <v>2</v>
      </c>
      <c r="C84" s="7" t="s">
        <v>48</v>
      </c>
      <c r="D84" s="21">
        <v>11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10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10</v>
      </c>
      <c r="R84" s="16">
        <v>0</v>
      </c>
      <c r="S84" s="16">
        <v>20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50</v>
      </c>
      <c r="Z84" s="34">
        <v>20</v>
      </c>
      <c r="AA84" s="22">
        <f t="shared" si="1"/>
        <v>110</v>
      </c>
      <c r="AB84" s="22"/>
      <c r="AC84" s="16">
        <v>1</v>
      </c>
      <c r="AD84" s="37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10</v>
      </c>
      <c r="AJ84" s="16">
        <v>0</v>
      </c>
      <c r="AK84" s="16">
        <v>1</v>
      </c>
    </row>
    <row r="85" spans="1:37" ht="17" customHeight="1" x14ac:dyDescent="0.3">
      <c r="A85" s="15" t="s">
        <v>52</v>
      </c>
      <c r="B85" s="7">
        <v>2</v>
      </c>
      <c r="C85" s="7" t="s">
        <v>48</v>
      </c>
      <c r="D85" s="21">
        <v>12</v>
      </c>
      <c r="E85" s="16">
        <v>0</v>
      </c>
      <c r="F85" s="16">
        <v>0</v>
      </c>
      <c r="G85" s="16">
        <v>0</v>
      </c>
      <c r="H85" s="16">
        <v>2</v>
      </c>
      <c r="I85" s="16">
        <v>10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10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34">
        <v>80</v>
      </c>
      <c r="AA85" s="22">
        <f t="shared" si="1"/>
        <v>102</v>
      </c>
      <c r="AB85" s="22"/>
      <c r="AC85" s="16">
        <v>0</v>
      </c>
      <c r="AD85" s="37">
        <v>0</v>
      </c>
      <c r="AE85" s="16">
        <v>0</v>
      </c>
      <c r="AF85" s="16">
        <v>0</v>
      </c>
      <c r="AG85" s="16">
        <v>0</v>
      </c>
      <c r="AH85" s="16">
        <v>1</v>
      </c>
      <c r="AI85" s="16">
        <v>6</v>
      </c>
      <c r="AJ85" s="16">
        <v>0</v>
      </c>
      <c r="AK85" s="16">
        <v>0</v>
      </c>
    </row>
    <row r="86" spans="1:37" ht="17" customHeight="1" x14ac:dyDescent="0.3">
      <c r="A86" s="15" t="s">
        <v>52</v>
      </c>
      <c r="B86" s="7">
        <v>2</v>
      </c>
      <c r="C86" s="7" t="s">
        <v>48</v>
      </c>
      <c r="D86" s="21">
        <v>13</v>
      </c>
      <c r="E86" s="16">
        <v>0</v>
      </c>
      <c r="F86" s="16">
        <v>0</v>
      </c>
      <c r="G86" s="16">
        <v>0</v>
      </c>
      <c r="H86" s="16">
        <v>0</v>
      </c>
      <c r="I86" s="16">
        <v>10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40</v>
      </c>
      <c r="Q86" s="16">
        <v>15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40</v>
      </c>
      <c r="Z86" s="34">
        <v>0</v>
      </c>
      <c r="AA86" s="22">
        <f t="shared" si="1"/>
        <v>105</v>
      </c>
      <c r="AB86" s="22"/>
      <c r="AC86" s="16">
        <v>0</v>
      </c>
      <c r="AD86" s="37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1</v>
      </c>
    </row>
    <row r="87" spans="1:37" ht="17" customHeight="1" x14ac:dyDescent="0.3">
      <c r="A87" s="15" t="s">
        <v>53</v>
      </c>
      <c r="B87" s="7">
        <v>2</v>
      </c>
      <c r="C87" s="7" t="s">
        <v>48</v>
      </c>
      <c r="D87" s="21">
        <v>14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4</v>
      </c>
      <c r="N87" s="16">
        <v>0</v>
      </c>
      <c r="O87" s="16">
        <v>10</v>
      </c>
      <c r="P87" s="16">
        <v>0</v>
      </c>
      <c r="Q87" s="16">
        <v>4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34">
        <v>90</v>
      </c>
      <c r="AA87" s="22">
        <f t="shared" si="1"/>
        <v>108</v>
      </c>
      <c r="AB87" s="22"/>
      <c r="AC87" s="16">
        <v>0</v>
      </c>
      <c r="AD87" s="37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4</v>
      </c>
      <c r="AJ87" s="16">
        <v>0</v>
      </c>
      <c r="AK87" s="16">
        <v>0</v>
      </c>
    </row>
    <row r="88" spans="1:37" ht="17" customHeight="1" x14ac:dyDescent="0.3">
      <c r="A88" s="15" t="s">
        <v>53</v>
      </c>
      <c r="B88" s="7">
        <v>2</v>
      </c>
      <c r="C88" s="7" t="s">
        <v>48</v>
      </c>
      <c r="D88" s="21">
        <v>15</v>
      </c>
      <c r="E88" s="16">
        <v>1</v>
      </c>
      <c r="F88" s="16">
        <v>0</v>
      </c>
      <c r="G88" s="16">
        <v>0</v>
      </c>
      <c r="H88" s="16">
        <v>2</v>
      </c>
      <c r="I88" s="16">
        <v>0</v>
      </c>
      <c r="J88" s="16">
        <v>2</v>
      </c>
      <c r="K88" s="16">
        <v>0</v>
      </c>
      <c r="L88" s="16">
        <v>0</v>
      </c>
      <c r="M88" s="16">
        <v>0</v>
      </c>
      <c r="N88" s="16">
        <v>0</v>
      </c>
      <c r="O88" s="16">
        <v>10</v>
      </c>
      <c r="P88" s="16">
        <v>10</v>
      </c>
      <c r="Q88" s="16">
        <v>5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34">
        <v>80</v>
      </c>
      <c r="AA88" s="22">
        <f t="shared" si="1"/>
        <v>110</v>
      </c>
      <c r="AB88" s="22"/>
      <c r="AC88" s="16">
        <v>0</v>
      </c>
      <c r="AD88" s="37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5</v>
      </c>
      <c r="AJ88" s="16">
        <v>0</v>
      </c>
      <c r="AK88" s="16">
        <v>0</v>
      </c>
    </row>
    <row r="89" spans="1:37" ht="17" customHeight="1" x14ac:dyDescent="0.3">
      <c r="A89" s="15" t="s">
        <v>54</v>
      </c>
      <c r="B89" s="7">
        <v>2</v>
      </c>
      <c r="C89" s="7" t="s">
        <v>48</v>
      </c>
      <c r="D89" s="21">
        <v>16</v>
      </c>
      <c r="E89" s="16">
        <v>0</v>
      </c>
      <c r="F89" s="16">
        <v>44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11</v>
      </c>
      <c r="P89" s="16">
        <v>7</v>
      </c>
      <c r="Q89" s="16">
        <v>30</v>
      </c>
      <c r="R89" s="16">
        <v>0</v>
      </c>
      <c r="S89" s="16">
        <v>33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34">
        <v>0</v>
      </c>
      <c r="AA89" s="22">
        <f t="shared" si="1"/>
        <v>125</v>
      </c>
      <c r="AB89" s="22"/>
      <c r="AC89" s="16">
        <v>0</v>
      </c>
      <c r="AD89" s="37">
        <v>10</v>
      </c>
      <c r="AE89" s="16">
        <v>0</v>
      </c>
      <c r="AF89" s="16">
        <v>0</v>
      </c>
      <c r="AG89" s="16">
        <v>0</v>
      </c>
      <c r="AH89" s="16">
        <v>0</v>
      </c>
      <c r="AI89" s="16">
        <v>2</v>
      </c>
      <c r="AJ89" s="16">
        <v>3</v>
      </c>
      <c r="AK89" s="16">
        <v>1</v>
      </c>
    </row>
    <row r="90" spans="1:37" ht="17" customHeight="1" x14ac:dyDescent="0.3">
      <c r="A90" s="15" t="s">
        <v>54</v>
      </c>
      <c r="B90" s="7">
        <v>2</v>
      </c>
      <c r="C90" s="7" t="s">
        <v>48</v>
      </c>
      <c r="D90" s="21">
        <v>17</v>
      </c>
      <c r="E90" s="16">
        <v>0</v>
      </c>
      <c r="F90" s="16">
        <v>4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22</v>
      </c>
      <c r="P90" s="16">
        <v>0</v>
      </c>
      <c r="Q90" s="16">
        <v>27</v>
      </c>
      <c r="R90" s="16">
        <v>0</v>
      </c>
      <c r="S90" s="16">
        <v>43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34">
        <v>50</v>
      </c>
      <c r="AA90" s="22">
        <f t="shared" si="1"/>
        <v>146</v>
      </c>
      <c r="AB90" s="22"/>
      <c r="AC90" s="16">
        <v>0</v>
      </c>
      <c r="AD90" s="37">
        <v>3</v>
      </c>
      <c r="AE90" s="16">
        <v>0</v>
      </c>
      <c r="AF90" s="16">
        <v>0</v>
      </c>
      <c r="AG90" s="16">
        <v>0</v>
      </c>
      <c r="AH90" s="16">
        <v>0</v>
      </c>
      <c r="AI90" s="16">
        <v>2</v>
      </c>
      <c r="AJ90" s="16">
        <v>0</v>
      </c>
      <c r="AK90" s="16">
        <v>0</v>
      </c>
    </row>
    <row r="91" spans="1:37" ht="17" customHeight="1" x14ac:dyDescent="0.3">
      <c r="A91" s="15" t="s">
        <v>54</v>
      </c>
      <c r="B91" s="7">
        <v>2</v>
      </c>
      <c r="C91" s="7" t="s">
        <v>48</v>
      </c>
      <c r="D91" s="21">
        <v>18</v>
      </c>
      <c r="E91" s="16">
        <v>1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24</v>
      </c>
      <c r="P91" s="16">
        <v>0</v>
      </c>
      <c r="Q91" s="16">
        <v>9</v>
      </c>
      <c r="R91" s="16">
        <v>0</v>
      </c>
      <c r="S91" s="16">
        <v>90</v>
      </c>
      <c r="T91" s="16">
        <v>9</v>
      </c>
      <c r="U91" s="16">
        <v>0</v>
      </c>
      <c r="V91" s="16">
        <v>0</v>
      </c>
      <c r="W91" s="16">
        <v>0</v>
      </c>
      <c r="X91" s="16">
        <v>0</v>
      </c>
      <c r="Y91" s="16">
        <v>3</v>
      </c>
      <c r="Z91" s="34">
        <v>2</v>
      </c>
      <c r="AA91" s="22">
        <f t="shared" si="1"/>
        <v>138</v>
      </c>
      <c r="AB91" s="22"/>
      <c r="AC91" s="16">
        <v>0</v>
      </c>
      <c r="AD91" s="37">
        <v>9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</row>
    <row r="92" spans="1:37" ht="17" customHeight="1" x14ac:dyDescent="0.3">
      <c r="A92" s="15" t="s">
        <v>55</v>
      </c>
      <c r="B92" s="7">
        <v>2</v>
      </c>
      <c r="C92" s="7" t="s">
        <v>48</v>
      </c>
      <c r="D92" s="21">
        <v>19</v>
      </c>
      <c r="E92" s="16">
        <v>0</v>
      </c>
      <c r="F92" s="16">
        <v>0</v>
      </c>
      <c r="G92" s="16">
        <v>0</v>
      </c>
      <c r="H92" s="16">
        <v>5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32</v>
      </c>
      <c r="P92" s="16">
        <v>0</v>
      </c>
      <c r="Q92" s="16">
        <v>26</v>
      </c>
      <c r="R92" s="16">
        <v>0</v>
      </c>
      <c r="S92" s="16">
        <v>41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34">
        <v>0</v>
      </c>
      <c r="AA92" s="22">
        <f t="shared" si="1"/>
        <v>104</v>
      </c>
      <c r="AB92" s="22"/>
      <c r="AC92" s="16">
        <v>0</v>
      </c>
      <c r="AD92" s="37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3</v>
      </c>
      <c r="AJ92" s="16">
        <v>0</v>
      </c>
      <c r="AK92" s="16">
        <v>0</v>
      </c>
    </row>
    <row r="93" spans="1:37" ht="17" customHeight="1" x14ac:dyDescent="0.3">
      <c r="A93" s="15" t="s">
        <v>55</v>
      </c>
      <c r="B93" s="7">
        <v>2</v>
      </c>
      <c r="C93" s="7" t="s">
        <v>48</v>
      </c>
      <c r="D93" s="21">
        <v>20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7</v>
      </c>
      <c r="P93" s="16">
        <v>0</v>
      </c>
      <c r="Q93" s="16">
        <v>22</v>
      </c>
      <c r="R93" s="16">
        <v>0</v>
      </c>
      <c r="S93" s="16">
        <v>45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26</v>
      </c>
      <c r="Z93" s="34">
        <v>0</v>
      </c>
      <c r="AA93" s="22">
        <f t="shared" si="1"/>
        <v>100</v>
      </c>
      <c r="AB93" s="22"/>
      <c r="AC93" s="16">
        <v>0</v>
      </c>
      <c r="AD93" s="37">
        <v>5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</row>
    <row r="94" spans="1:37" ht="17" customHeight="1" x14ac:dyDescent="0.3">
      <c r="A94" s="15" t="s">
        <v>56</v>
      </c>
      <c r="B94" s="7">
        <v>2</v>
      </c>
      <c r="C94" s="7" t="s">
        <v>48</v>
      </c>
      <c r="D94" s="21">
        <v>21</v>
      </c>
      <c r="E94" s="16">
        <v>0</v>
      </c>
      <c r="F94" s="16">
        <v>0</v>
      </c>
      <c r="G94" s="16">
        <v>0</v>
      </c>
      <c r="H94" s="16">
        <v>0</v>
      </c>
      <c r="I94" s="16">
        <v>2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13</v>
      </c>
      <c r="Q94" s="16">
        <v>3</v>
      </c>
      <c r="R94" s="16">
        <v>0</v>
      </c>
      <c r="S94" s="16">
        <v>85</v>
      </c>
      <c r="T94" s="16">
        <v>0</v>
      </c>
      <c r="U94" s="16">
        <v>0</v>
      </c>
      <c r="V94" s="16">
        <v>0</v>
      </c>
      <c r="W94" s="16">
        <v>0</v>
      </c>
      <c r="X94" s="16">
        <v>1.5</v>
      </c>
      <c r="Y94" s="16">
        <v>0</v>
      </c>
      <c r="Z94" s="34">
        <v>0</v>
      </c>
      <c r="AA94" s="22">
        <f t="shared" si="1"/>
        <v>104.5</v>
      </c>
      <c r="AB94" s="22"/>
      <c r="AC94" s="16">
        <v>0</v>
      </c>
      <c r="AD94" s="37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</row>
    <row r="95" spans="1:37" ht="17" customHeight="1" x14ac:dyDescent="0.3">
      <c r="A95" s="15" t="s">
        <v>56</v>
      </c>
      <c r="B95" s="7">
        <v>2</v>
      </c>
      <c r="C95" s="7" t="s">
        <v>48</v>
      </c>
      <c r="D95" s="21">
        <v>22</v>
      </c>
      <c r="E95" s="16">
        <v>0</v>
      </c>
      <c r="F95" s="16">
        <v>0</v>
      </c>
      <c r="G95" s="16">
        <v>0</v>
      </c>
      <c r="H95" s="16">
        <v>0</v>
      </c>
      <c r="I95" s="16">
        <v>10</v>
      </c>
      <c r="J95" s="16">
        <v>1</v>
      </c>
      <c r="K95" s="16">
        <v>0</v>
      </c>
      <c r="L95" s="16">
        <v>0</v>
      </c>
      <c r="M95" s="16">
        <v>0</v>
      </c>
      <c r="N95" s="16">
        <v>0</v>
      </c>
      <c r="O95" s="16">
        <v>5</v>
      </c>
      <c r="P95" s="16">
        <v>10</v>
      </c>
      <c r="Q95" s="16">
        <v>19</v>
      </c>
      <c r="R95" s="16">
        <v>0</v>
      </c>
      <c r="S95" s="16">
        <v>70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34">
        <v>0</v>
      </c>
      <c r="AA95" s="22">
        <f t="shared" si="1"/>
        <v>115</v>
      </c>
      <c r="AB95" s="22"/>
      <c r="AC95" s="16">
        <v>0</v>
      </c>
      <c r="AD95" s="37">
        <v>0</v>
      </c>
      <c r="AE95" s="16">
        <v>1</v>
      </c>
      <c r="AF95" s="16">
        <v>0</v>
      </c>
      <c r="AG95" s="16">
        <v>0</v>
      </c>
      <c r="AH95" s="16">
        <v>1</v>
      </c>
      <c r="AI95" s="16">
        <v>5</v>
      </c>
      <c r="AJ95" s="16">
        <v>0</v>
      </c>
      <c r="AK95" s="16">
        <v>2</v>
      </c>
    </row>
    <row r="96" spans="1:37" ht="17" customHeight="1" x14ac:dyDescent="0.3">
      <c r="A96" s="7" t="s">
        <v>57</v>
      </c>
      <c r="B96" s="7">
        <v>2</v>
      </c>
      <c r="C96" s="7" t="s">
        <v>48</v>
      </c>
      <c r="D96" s="21">
        <v>23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13</v>
      </c>
      <c r="Q96" s="16">
        <v>3</v>
      </c>
      <c r="R96" s="16">
        <v>0</v>
      </c>
      <c r="S96" s="16">
        <v>85</v>
      </c>
      <c r="T96" s="16">
        <v>0</v>
      </c>
      <c r="U96" s="16">
        <v>0</v>
      </c>
      <c r="V96" s="16">
        <v>0</v>
      </c>
      <c r="W96" s="16">
        <v>0.2</v>
      </c>
      <c r="X96" s="16">
        <v>1.5</v>
      </c>
      <c r="Y96" s="16">
        <v>0</v>
      </c>
      <c r="Z96" s="34">
        <v>0</v>
      </c>
      <c r="AA96" s="22">
        <f t="shared" si="1"/>
        <v>102.7</v>
      </c>
      <c r="AB96" s="22"/>
      <c r="AC96" s="16">
        <v>0</v>
      </c>
      <c r="AD96" s="37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1</v>
      </c>
    </row>
    <row r="97" spans="1:37" ht="17" customHeight="1" x14ac:dyDescent="0.3">
      <c r="A97" s="7" t="s">
        <v>57</v>
      </c>
      <c r="B97" s="7">
        <v>2</v>
      </c>
      <c r="C97" s="7" t="s">
        <v>48</v>
      </c>
      <c r="D97" s="21">
        <v>24</v>
      </c>
      <c r="E97" s="16">
        <v>1</v>
      </c>
      <c r="F97" s="16">
        <v>0</v>
      </c>
      <c r="G97" s="16">
        <v>0</v>
      </c>
      <c r="H97" s="16">
        <v>16</v>
      </c>
      <c r="I97" s="16">
        <v>0</v>
      </c>
      <c r="J97" s="16">
        <v>2</v>
      </c>
      <c r="K97" s="16">
        <v>0</v>
      </c>
      <c r="L97" s="16">
        <v>0</v>
      </c>
      <c r="M97" s="16">
        <v>0</v>
      </c>
      <c r="N97" s="16">
        <v>0</v>
      </c>
      <c r="O97" s="16">
        <v>4</v>
      </c>
      <c r="P97" s="16">
        <v>0</v>
      </c>
      <c r="Q97" s="16">
        <v>61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30</v>
      </c>
      <c r="Z97" s="34">
        <v>0</v>
      </c>
      <c r="AA97" s="22">
        <f t="shared" si="1"/>
        <v>114</v>
      </c>
      <c r="AB97" s="22"/>
      <c r="AC97" s="16">
        <v>0</v>
      </c>
      <c r="AD97" s="37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2</v>
      </c>
      <c r="AJ97" s="16">
        <v>0</v>
      </c>
      <c r="AK97" s="16">
        <v>0</v>
      </c>
    </row>
    <row r="98" spans="1:37" ht="17" customHeight="1" x14ac:dyDescent="0.3">
      <c r="A98" s="7" t="s">
        <v>57</v>
      </c>
      <c r="B98" s="7">
        <v>2</v>
      </c>
      <c r="C98" s="7" t="s">
        <v>48</v>
      </c>
      <c r="D98" s="21">
        <v>25</v>
      </c>
      <c r="E98" s="16">
        <v>30</v>
      </c>
      <c r="F98" s="16">
        <v>0</v>
      </c>
      <c r="G98" s="16">
        <v>0</v>
      </c>
      <c r="H98" s="16">
        <v>0</v>
      </c>
      <c r="I98" s="16">
        <v>0</v>
      </c>
      <c r="J98" s="16">
        <v>2</v>
      </c>
      <c r="K98" s="16">
        <v>0</v>
      </c>
      <c r="L98" s="16">
        <v>0</v>
      </c>
      <c r="M98" s="16">
        <v>0</v>
      </c>
      <c r="N98" s="16">
        <v>0</v>
      </c>
      <c r="O98" s="16">
        <v>2</v>
      </c>
      <c r="P98" s="16">
        <v>0</v>
      </c>
      <c r="Q98" s="16">
        <v>0</v>
      </c>
      <c r="R98" s="16">
        <v>0</v>
      </c>
      <c r="S98" s="16">
        <v>75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34">
        <v>0</v>
      </c>
      <c r="AA98" s="22">
        <f t="shared" si="1"/>
        <v>109</v>
      </c>
      <c r="AB98" s="22"/>
      <c r="AC98" s="16">
        <v>0</v>
      </c>
      <c r="AD98" s="37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3</v>
      </c>
      <c r="AJ98" s="16">
        <v>0</v>
      </c>
      <c r="AK98" s="16">
        <v>0</v>
      </c>
    </row>
    <row r="99" spans="1:37" ht="17" customHeight="1" x14ac:dyDescent="0.3">
      <c r="A99" s="7" t="s">
        <v>58</v>
      </c>
      <c r="B99" s="7">
        <v>2</v>
      </c>
      <c r="C99" s="7" t="s">
        <v>48</v>
      </c>
      <c r="D99" s="21">
        <v>26</v>
      </c>
      <c r="E99" s="16">
        <v>0</v>
      </c>
      <c r="F99" s="16">
        <v>0</v>
      </c>
      <c r="G99" s="16">
        <v>0</v>
      </c>
      <c r="H99" s="16">
        <v>11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18</v>
      </c>
      <c r="Q99" s="16">
        <v>5</v>
      </c>
      <c r="R99" s="16">
        <v>0</v>
      </c>
      <c r="S99" s="16">
        <v>33</v>
      </c>
      <c r="T99" s="16">
        <v>0</v>
      </c>
      <c r="U99" s="16">
        <v>0</v>
      </c>
      <c r="V99" s="16">
        <v>0</v>
      </c>
      <c r="W99" s="16">
        <v>0.2</v>
      </c>
      <c r="X99" s="16">
        <v>4</v>
      </c>
      <c r="Y99" s="16">
        <v>0</v>
      </c>
      <c r="Z99" s="34">
        <v>40</v>
      </c>
      <c r="AA99" s="22">
        <f t="shared" si="1"/>
        <v>111.2</v>
      </c>
      <c r="AB99" s="22"/>
      <c r="AC99" s="16">
        <v>0</v>
      </c>
      <c r="AD99" s="37">
        <v>20</v>
      </c>
      <c r="AE99" s="16">
        <v>0</v>
      </c>
      <c r="AF99" s="16">
        <v>0</v>
      </c>
      <c r="AG99" s="16">
        <v>0</v>
      </c>
      <c r="AH99" s="16">
        <v>0</v>
      </c>
      <c r="AI99" s="16">
        <v>2</v>
      </c>
      <c r="AJ99" s="16">
        <v>0</v>
      </c>
      <c r="AK99" s="16">
        <v>0</v>
      </c>
    </row>
    <row r="100" spans="1:37" ht="17" customHeight="1" x14ac:dyDescent="0.3">
      <c r="A100" s="7" t="s">
        <v>58</v>
      </c>
      <c r="B100" s="7">
        <v>2</v>
      </c>
      <c r="C100" s="7" t="s">
        <v>48</v>
      </c>
      <c r="D100" s="21">
        <v>27</v>
      </c>
      <c r="E100" s="16">
        <v>9</v>
      </c>
      <c r="F100" s="16">
        <v>0</v>
      </c>
      <c r="G100" s="16">
        <v>0</v>
      </c>
      <c r="H100" s="16">
        <v>0</v>
      </c>
      <c r="I100" s="16">
        <v>0</v>
      </c>
      <c r="J100" s="16">
        <v>4</v>
      </c>
      <c r="K100" s="16">
        <v>0</v>
      </c>
      <c r="L100" s="16">
        <v>0</v>
      </c>
      <c r="M100" s="16">
        <v>0</v>
      </c>
      <c r="N100" s="16">
        <v>0</v>
      </c>
      <c r="O100" s="16">
        <v>6</v>
      </c>
      <c r="P100" s="16">
        <v>0</v>
      </c>
      <c r="Q100" s="16">
        <v>45</v>
      </c>
      <c r="R100" s="16">
        <v>0</v>
      </c>
      <c r="S100" s="16">
        <v>52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34">
        <v>0</v>
      </c>
      <c r="AA100" s="22">
        <f t="shared" si="1"/>
        <v>116</v>
      </c>
      <c r="AB100" s="22"/>
      <c r="AC100" s="16">
        <v>0</v>
      </c>
      <c r="AD100" s="37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</row>
    <row r="101" spans="1:37" ht="17" customHeight="1" x14ac:dyDescent="0.3">
      <c r="A101" s="7" t="s">
        <v>58</v>
      </c>
      <c r="B101" s="7">
        <v>2</v>
      </c>
      <c r="C101" s="7" t="s">
        <v>48</v>
      </c>
      <c r="D101" s="21">
        <v>28</v>
      </c>
      <c r="E101" s="16">
        <v>0</v>
      </c>
      <c r="F101" s="16">
        <v>0</v>
      </c>
      <c r="G101" s="16">
        <v>0</v>
      </c>
      <c r="H101" s="16">
        <v>0</v>
      </c>
      <c r="I101" s="16">
        <v>39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2</v>
      </c>
      <c r="Q101" s="16">
        <v>0</v>
      </c>
      <c r="R101" s="16">
        <v>0</v>
      </c>
      <c r="S101" s="16">
        <v>33</v>
      </c>
      <c r="T101" s="16">
        <v>0</v>
      </c>
      <c r="U101" s="16">
        <v>0</v>
      </c>
      <c r="V101" s="16">
        <v>0</v>
      </c>
      <c r="W101" s="16">
        <v>0.7</v>
      </c>
      <c r="X101" s="16">
        <v>7</v>
      </c>
      <c r="Y101" s="16">
        <v>0</v>
      </c>
      <c r="Z101" s="34">
        <v>29</v>
      </c>
      <c r="AA101" s="22">
        <f t="shared" si="1"/>
        <v>110.7</v>
      </c>
      <c r="AB101" s="22"/>
      <c r="AC101" s="16">
        <v>6</v>
      </c>
      <c r="AD101" s="37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</row>
    <row r="102" spans="1:37" ht="17" customHeight="1" x14ac:dyDescent="0.3">
      <c r="A102" s="7" t="s">
        <v>59</v>
      </c>
      <c r="B102" s="7">
        <v>2</v>
      </c>
      <c r="C102" s="7" t="s">
        <v>48</v>
      </c>
      <c r="D102" s="21">
        <v>29</v>
      </c>
      <c r="E102" s="16">
        <v>0</v>
      </c>
      <c r="F102" s="16">
        <v>0</v>
      </c>
      <c r="G102" s="16">
        <v>0</v>
      </c>
      <c r="H102" s="16">
        <v>0</v>
      </c>
      <c r="I102" s="16">
        <v>67</v>
      </c>
      <c r="J102" s="16">
        <v>4</v>
      </c>
      <c r="K102" s="16">
        <v>0</v>
      </c>
      <c r="L102" s="16">
        <v>0</v>
      </c>
      <c r="M102" s="16">
        <v>9</v>
      </c>
      <c r="N102" s="16">
        <v>0</v>
      </c>
      <c r="O102" s="16">
        <v>0</v>
      </c>
      <c r="P102" s="16">
        <v>0</v>
      </c>
      <c r="Q102" s="16">
        <v>25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34">
        <v>0</v>
      </c>
      <c r="AA102" s="22">
        <f t="shared" si="1"/>
        <v>105</v>
      </c>
      <c r="AB102" s="22"/>
      <c r="AC102" s="16">
        <v>0</v>
      </c>
      <c r="AD102" s="37">
        <v>4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</row>
    <row r="103" spans="1:37" ht="17" customHeight="1" x14ac:dyDescent="0.3">
      <c r="A103" s="7" t="s">
        <v>59</v>
      </c>
      <c r="B103" s="7">
        <v>2</v>
      </c>
      <c r="C103" s="7" t="s">
        <v>48</v>
      </c>
      <c r="D103" s="21">
        <v>30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8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6</v>
      </c>
      <c r="R103" s="16">
        <v>0</v>
      </c>
      <c r="S103" s="16">
        <v>12</v>
      </c>
      <c r="T103" s="16">
        <v>15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34">
        <v>64</v>
      </c>
      <c r="AA103" s="22">
        <f t="shared" si="1"/>
        <v>105</v>
      </c>
      <c r="AB103" s="22"/>
      <c r="AC103" s="16">
        <v>0</v>
      </c>
      <c r="AD103" s="37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</row>
    <row r="104" spans="1:37" ht="17" customHeight="1" x14ac:dyDescent="0.3">
      <c r="A104" s="7" t="s">
        <v>60</v>
      </c>
      <c r="B104" s="7">
        <v>2</v>
      </c>
      <c r="C104" s="7" t="s">
        <v>48</v>
      </c>
      <c r="D104" s="21">
        <v>31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1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34">
        <v>100</v>
      </c>
      <c r="AA104" s="22">
        <f t="shared" si="1"/>
        <v>101</v>
      </c>
      <c r="AB104" s="22"/>
      <c r="AC104" s="16">
        <v>0</v>
      </c>
      <c r="AD104" s="37">
        <v>2</v>
      </c>
      <c r="AE104" s="16">
        <v>0</v>
      </c>
      <c r="AF104" s="16">
        <v>0</v>
      </c>
      <c r="AG104" s="16">
        <v>0</v>
      </c>
      <c r="AH104" s="16">
        <v>0</v>
      </c>
      <c r="AI104" s="16">
        <v>2</v>
      </c>
      <c r="AJ104" s="16">
        <v>0</v>
      </c>
      <c r="AK104" s="16">
        <v>0</v>
      </c>
    </row>
    <row r="105" spans="1:37" ht="17" customHeight="1" x14ac:dyDescent="0.3">
      <c r="A105" s="7" t="s">
        <v>60</v>
      </c>
      <c r="B105" s="7">
        <v>2</v>
      </c>
      <c r="C105" s="7" t="s">
        <v>48</v>
      </c>
      <c r="D105" s="21">
        <v>32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11</v>
      </c>
      <c r="K105" s="16">
        <v>0</v>
      </c>
      <c r="L105" s="16">
        <v>0</v>
      </c>
      <c r="M105" s="16" t="s">
        <v>41</v>
      </c>
      <c r="N105" s="16">
        <v>0</v>
      </c>
      <c r="O105" s="16">
        <v>2</v>
      </c>
      <c r="P105" s="16">
        <v>0</v>
      </c>
      <c r="Q105" s="16">
        <v>15</v>
      </c>
      <c r="R105" s="16">
        <v>0</v>
      </c>
      <c r="S105" s="16">
        <v>80</v>
      </c>
      <c r="T105" s="16">
        <v>2</v>
      </c>
      <c r="U105" s="16">
        <v>3</v>
      </c>
      <c r="V105" s="16">
        <v>0</v>
      </c>
      <c r="W105" s="16">
        <v>0</v>
      </c>
      <c r="X105" s="16">
        <v>0</v>
      </c>
      <c r="Y105" s="16">
        <v>0</v>
      </c>
      <c r="Z105" s="34">
        <v>20</v>
      </c>
      <c r="AA105" s="22">
        <f t="shared" si="1"/>
        <v>133</v>
      </c>
      <c r="AB105" s="22"/>
      <c r="AC105" s="16">
        <v>0</v>
      </c>
      <c r="AD105" s="37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</row>
    <row r="106" spans="1:37" ht="17" customHeight="1" x14ac:dyDescent="0.3">
      <c r="A106" s="7" t="s">
        <v>60</v>
      </c>
      <c r="B106" s="7">
        <v>2</v>
      </c>
      <c r="C106" s="7" t="s">
        <v>48</v>
      </c>
      <c r="D106" s="21">
        <v>33</v>
      </c>
      <c r="E106" s="16">
        <v>4</v>
      </c>
      <c r="F106" s="16">
        <v>0</v>
      </c>
      <c r="G106" s="16">
        <v>0</v>
      </c>
      <c r="H106" s="16" t="s">
        <v>61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5</v>
      </c>
      <c r="P106" s="16">
        <v>0</v>
      </c>
      <c r="Q106" s="16">
        <v>20</v>
      </c>
      <c r="R106" s="16">
        <v>0</v>
      </c>
      <c r="S106" s="16">
        <v>100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34">
        <v>0</v>
      </c>
      <c r="AA106" s="22">
        <f t="shared" si="1"/>
        <v>129</v>
      </c>
      <c r="AB106" s="22"/>
      <c r="AC106" s="16">
        <v>0</v>
      </c>
      <c r="AD106" s="37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6</v>
      </c>
      <c r="AJ106" s="16">
        <v>0</v>
      </c>
      <c r="AK106" s="16">
        <v>0</v>
      </c>
    </row>
    <row r="107" spans="1:37" ht="17" customHeight="1" x14ac:dyDescent="0.3">
      <c r="A107" s="7" t="s">
        <v>62</v>
      </c>
      <c r="B107" s="7">
        <v>2</v>
      </c>
      <c r="C107" s="7" t="s">
        <v>48</v>
      </c>
      <c r="D107" s="21">
        <v>34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10</v>
      </c>
      <c r="K107" s="16">
        <v>0</v>
      </c>
      <c r="L107" s="16">
        <v>0</v>
      </c>
      <c r="M107" s="16">
        <v>0</v>
      </c>
      <c r="N107" s="16">
        <v>0</v>
      </c>
      <c r="O107" s="16">
        <v>25</v>
      </c>
      <c r="P107" s="16">
        <v>0</v>
      </c>
      <c r="Q107" s="16">
        <v>15</v>
      </c>
      <c r="R107" s="16">
        <v>0</v>
      </c>
      <c r="S107" s="16">
        <v>80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20</v>
      </c>
      <c r="Z107" s="34">
        <v>0</v>
      </c>
      <c r="AA107" s="22">
        <f t="shared" si="1"/>
        <v>150</v>
      </c>
      <c r="AB107" s="22"/>
      <c r="AC107" s="16">
        <v>0</v>
      </c>
      <c r="AD107" s="37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8</v>
      </c>
      <c r="AJ107" s="16">
        <v>0</v>
      </c>
      <c r="AK107" s="16">
        <v>0</v>
      </c>
    </row>
    <row r="108" spans="1:37" ht="17" customHeight="1" x14ac:dyDescent="0.3">
      <c r="A108" s="7" t="s">
        <v>62</v>
      </c>
      <c r="B108" s="7">
        <v>2</v>
      </c>
      <c r="C108" s="7" t="s">
        <v>48</v>
      </c>
      <c r="D108" s="21">
        <v>35</v>
      </c>
      <c r="E108" s="16">
        <v>1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1</v>
      </c>
      <c r="N108" s="16">
        <v>0</v>
      </c>
      <c r="O108" s="16">
        <v>4</v>
      </c>
      <c r="P108" s="16">
        <v>0</v>
      </c>
      <c r="Q108" s="16">
        <v>10</v>
      </c>
      <c r="R108" s="16">
        <v>0</v>
      </c>
      <c r="S108" s="16">
        <v>100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4</v>
      </c>
      <c r="Z108" s="34">
        <v>0</v>
      </c>
      <c r="AA108" s="22">
        <f t="shared" si="1"/>
        <v>120</v>
      </c>
      <c r="AB108" s="22"/>
      <c r="AC108" s="16">
        <v>0</v>
      </c>
      <c r="AD108" s="37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2</v>
      </c>
      <c r="AJ108" s="16">
        <v>0</v>
      </c>
      <c r="AK108" s="16">
        <v>0</v>
      </c>
    </row>
    <row r="109" spans="1:37" ht="17" customHeight="1" x14ac:dyDescent="0.3">
      <c r="A109" s="7" t="s">
        <v>62</v>
      </c>
      <c r="B109" s="7">
        <v>2</v>
      </c>
      <c r="C109" s="7" t="s">
        <v>48</v>
      </c>
      <c r="D109" s="21">
        <v>36</v>
      </c>
      <c r="E109" s="16">
        <v>1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15</v>
      </c>
      <c r="P109" s="16">
        <v>1</v>
      </c>
      <c r="Q109" s="16">
        <v>20</v>
      </c>
      <c r="R109" s="16">
        <v>0</v>
      </c>
      <c r="S109" s="16">
        <v>20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96</v>
      </c>
      <c r="Z109" s="34">
        <v>0</v>
      </c>
      <c r="AA109" s="22">
        <f t="shared" si="1"/>
        <v>153</v>
      </c>
      <c r="AB109" s="22"/>
      <c r="AC109" s="16">
        <v>0</v>
      </c>
      <c r="AD109" s="37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3</v>
      </c>
      <c r="AJ109" s="16">
        <v>0</v>
      </c>
      <c r="AK109" s="16">
        <v>0</v>
      </c>
    </row>
    <row r="110" spans="1:37" ht="15.75" customHeight="1" x14ac:dyDescent="0.3"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8"/>
      <c r="AB110" s="28"/>
      <c r="AC110" s="16"/>
      <c r="AD110" s="40"/>
      <c r="AE110" s="27"/>
      <c r="AF110" s="27"/>
      <c r="AG110" s="27"/>
      <c r="AH110" s="27"/>
      <c r="AI110" s="27"/>
      <c r="AJ110" s="27"/>
      <c r="AK110" s="27"/>
    </row>
    <row r="111" spans="1:37" ht="15.75" customHeight="1" x14ac:dyDescent="0.3"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8"/>
      <c r="AB111" s="28"/>
      <c r="AC111" s="16"/>
      <c r="AD111" s="40"/>
      <c r="AE111" s="27"/>
      <c r="AF111" s="27"/>
      <c r="AG111" s="27"/>
      <c r="AH111" s="27"/>
      <c r="AI111" s="27"/>
      <c r="AJ111" s="27"/>
      <c r="AK111" s="27"/>
    </row>
    <row r="112" spans="1:37" ht="15.75" customHeight="1" x14ac:dyDescent="0.3"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8"/>
      <c r="AB112" s="28"/>
      <c r="AC112" s="16"/>
      <c r="AD112" s="40"/>
      <c r="AE112" s="27"/>
      <c r="AF112" s="27"/>
      <c r="AG112" s="27"/>
      <c r="AH112" s="27"/>
      <c r="AI112" s="27"/>
      <c r="AJ112" s="27"/>
      <c r="AK112" s="27"/>
    </row>
    <row r="113" spans="4:37" ht="15.75" customHeight="1" x14ac:dyDescent="0.3"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8"/>
      <c r="AB113" s="28"/>
      <c r="AC113" s="16"/>
      <c r="AD113" s="40"/>
      <c r="AE113" s="27"/>
      <c r="AF113" s="27"/>
      <c r="AG113" s="27"/>
      <c r="AH113" s="27"/>
      <c r="AI113" s="27"/>
      <c r="AJ113" s="27"/>
      <c r="AK113" s="27"/>
    </row>
    <row r="114" spans="4:37" ht="15.75" customHeight="1" x14ac:dyDescent="0.3"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8"/>
      <c r="AB114" s="28"/>
      <c r="AC114" s="16"/>
      <c r="AD114" s="40"/>
      <c r="AE114" s="27"/>
      <c r="AF114" s="27"/>
      <c r="AG114" s="27"/>
      <c r="AH114" s="27"/>
      <c r="AI114" s="27"/>
      <c r="AJ114" s="27"/>
      <c r="AK114" s="27"/>
    </row>
    <row r="115" spans="4:37" ht="15.75" customHeight="1" x14ac:dyDescent="0.3"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8"/>
      <c r="AB115" s="28"/>
      <c r="AC115" s="16"/>
      <c r="AD115" s="40"/>
      <c r="AE115" s="27"/>
      <c r="AF115" s="27"/>
      <c r="AG115" s="27"/>
      <c r="AH115" s="27"/>
      <c r="AI115" s="27"/>
      <c r="AJ115" s="27"/>
      <c r="AK115" s="27"/>
    </row>
    <row r="116" spans="4:37" ht="15.75" customHeight="1" x14ac:dyDescent="0.3"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8"/>
      <c r="AB116" s="28"/>
      <c r="AC116" s="16"/>
      <c r="AD116" s="40"/>
      <c r="AE116" s="27"/>
      <c r="AF116" s="27"/>
      <c r="AG116" s="27"/>
      <c r="AH116" s="27"/>
      <c r="AI116" s="27"/>
      <c r="AJ116" s="27"/>
      <c r="AK116" s="27"/>
    </row>
    <row r="117" spans="4:37" ht="15.75" customHeight="1" x14ac:dyDescent="0.3"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8"/>
      <c r="AB117" s="28"/>
      <c r="AC117" s="16"/>
      <c r="AD117" s="40"/>
      <c r="AE117" s="27"/>
      <c r="AF117" s="27"/>
      <c r="AG117" s="27"/>
      <c r="AH117" s="27"/>
      <c r="AI117" s="27"/>
      <c r="AJ117" s="27"/>
      <c r="AK117" s="27"/>
    </row>
    <row r="118" spans="4:37" ht="15.75" customHeight="1" x14ac:dyDescent="0.3"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8"/>
      <c r="AB118" s="28"/>
      <c r="AC118" s="16"/>
      <c r="AD118" s="40"/>
      <c r="AE118" s="27"/>
      <c r="AF118" s="27"/>
      <c r="AG118" s="27"/>
      <c r="AH118" s="27"/>
      <c r="AI118" s="27"/>
      <c r="AJ118" s="27"/>
      <c r="AK118" s="27"/>
    </row>
    <row r="119" spans="4:37" ht="15.75" customHeight="1" x14ac:dyDescent="0.3"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8"/>
      <c r="AB119" s="28"/>
      <c r="AC119" s="16"/>
      <c r="AD119" s="40"/>
      <c r="AE119" s="27"/>
      <c r="AF119" s="27"/>
      <c r="AG119" s="27"/>
      <c r="AH119" s="27"/>
      <c r="AI119" s="27"/>
      <c r="AJ119" s="27"/>
      <c r="AK119" s="27"/>
    </row>
    <row r="120" spans="4:37" ht="15.75" customHeight="1" x14ac:dyDescent="0.3"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8"/>
      <c r="AB120" s="28"/>
      <c r="AC120" s="16"/>
      <c r="AD120" s="40"/>
      <c r="AE120" s="27"/>
      <c r="AF120" s="27"/>
      <c r="AG120" s="27"/>
      <c r="AH120" s="27"/>
      <c r="AI120" s="27"/>
      <c r="AJ120" s="27"/>
      <c r="AK120" s="27"/>
    </row>
    <row r="121" spans="4:37" ht="15.75" customHeight="1" x14ac:dyDescent="0.3"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8"/>
      <c r="AB121" s="28"/>
      <c r="AC121" s="16"/>
      <c r="AD121" s="40"/>
      <c r="AE121" s="27"/>
      <c r="AF121" s="27"/>
      <c r="AG121" s="27"/>
      <c r="AH121" s="27"/>
      <c r="AI121" s="27"/>
      <c r="AJ121" s="27"/>
      <c r="AK121" s="27"/>
    </row>
    <row r="122" spans="4:37" ht="15.75" customHeight="1" x14ac:dyDescent="0.3"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8"/>
      <c r="AB122" s="28"/>
      <c r="AC122" s="16"/>
      <c r="AD122" s="40"/>
      <c r="AE122" s="27"/>
      <c r="AF122" s="27"/>
      <c r="AG122" s="27"/>
      <c r="AH122" s="27"/>
      <c r="AI122" s="27"/>
      <c r="AJ122" s="27"/>
      <c r="AK122" s="27"/>
    </row>
    <row r="123" spans="4:37" ht="15.75" customHeight="1" x14ac:dyDescent="0.3"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8"/>
      <c r="AB123" s="28"/>
      <c r="AC123" s="16"/>
      <c r="AD123" s="40"/>
      <c r="AE123" s="27"/>
      <c r="AF123" s="27"/>
      <c r="AG123" s="27"/>
      <c r="AH123" s="27"/>
      <c r="AI123" s="27"/>
      <c r="AJ123" s="27"/>
      <c r="AK123" s="27"/>
    </row>
    <row r="124" spans="4:37" ht="15.75" customHeight="1" x14ac:dyDescent="0.3"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8"/>
      <c r="AB124" s="28"/>
      <c r="AC124" s="16"/>
      <c r="AD124" s="40"/>
      <c r="AE124" s="27"/>
      <c r="AF124" s="27"/>
      <c r="AG124" s="27"/>
      <c r="AH124" s="27"/>
      <c r="AI124" s="27"/>
      <c r="AJ124" s="27"/>
      <c r="AK124" s="27"/>
    </row>
    <row r="125" spans="4:37" ht="15.75" customHeight="1" x14ac:dyDescent="0.3"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8"/>
      <c r="AB125" s="28"/>
      <c r="AC125" s="16"/>
      <c r="AD125" s="40"/>
      <c r="AE125" s="27"/>
      <c r="AF125" s="27"/>
      <c r="AG125" s="27"/>
      <c r="AH125" s="27"/>
      <c r="AI125" s="27"/>
      <c r="AJ125" s="27"/>
      <c r="AK125" s="27"/>
    </row>
    <row r="126" spans="4:37" ht="15.75" customHeight="1" x14ac:dyDescent="0.3"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8"/>
      <c r="AB126" s="28"/>
      <c r="AC126" s="16"/>
      <c r="AD126" s="40"/>
      <c r="AE126" s="27"/>
      <c r="AF126" s="27"/>
      <c r="AG126" s="27"/>
      <c r="AH126" s="27"/>
      <c r="AI126" s="27"/>
      <c r="AJ126" s="27"/>
      <c r="AK126" s="27"/>
    </row>
    <row r="127" spans="4:37" ht="15.75" customHeight="1" x14ac:dyDescent="0.3"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8"/>
      <c r="AB127" s="28"/>
      <c r="AC127" s="16"/>
      <c r="AD127" s="40"/>
      <c r="AE127" s="27"/>
      <c r="AF127" s="27"/>
      <c r="AG127" s="27"/>
      <c r="AH127" s="27"/>
      <c r="AI127" s="27"/>
      <c r="AJ127" s="27"/>
      <c r="AK127" s="27"/>
    </row>
    <row r="128" spans="4:37" ht="15.75" customHeight="1" x14ac:dyDescent="0.3"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8"/>
      <c r="AB128" s="28"/>
      <c r="AC128" s="16"/>
      <c r="AD128" s="40"/>
      <c r="AE128" s="27"/>
      <c r="AF128" s="27"/>
      <c r="AG128" s="27"/>
      <c r="AH128" s="27"/>
      <c r="AI128" s="27"/>
      <c r="AJ128" s="27"/>
      <c r="AK128" s="27"/>
    </row>
    <row r="129" spans="4:37" ht="15.75" customHeight="1" x14ac:dyDescent="0.3"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8"/>
      <c r="AB129" s="28"/>
      <c r="AC129" s="16"/>
      <c r="AD129" s="40"/>
      <c r="AE129" s="27"/>
      <c r="AF129" s="27"/>
      <c r="AG129" s="27"/>
      <c r="AH129" s="27"/>
      <c r="AI129" s="27"/>
      <c r="AJ129" s="27"/>
      <c r="AK129" s="27"/>
    </row>
    <row r="130" spans="4:37" ht="15.75" customHeight="1" x14ac:dyDescent="0.3"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8"/>
      <c r="AB130" s="28"/>
      <c r="AC130" s="16"/>
      <c r="AD130" s="40"/>
      <c r="AE130" s="27"/>
      <c r="AF130" s="27"/>
      <c r="AG130" s="27"/>
      <c r="AH130" s="27"/>
      <c r="AI130" s="27"/>
      <c r="AJ130" s="27"/>
      <c r="AK130" s="27"/>
    </row>
    <row r="131" spans="4:37" ht="15.75" customHeight="1" x14ac:dyDescent="0.3"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8"/>
      <c r="AB131" s="28"/>
      <c r="AC131" s="16"/>
      <c r="AD131" s="40"/>
      <c r="AE131" s="27"/>
      <c r="AF131" s="27"/>
      <c r="AG131" s="27"/>
      <c r="AH131" s="27"/>
      <c r="AI131" s="27"/>
      <c r="AJ131" s="27"/>
      <c r="AK131" s="27"/>
    </row>
    <row r="132" spans="4:37" ht="15.75" customHeight="1" x14ac:dyDescent="0.3"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8"/>
      <c r="AB132" s="28"/>
      <c r="AC132" s="16"/>
      <c r="AD132" s="40"/>
      <c r="AE132" s="27"/>
      <c r="AF132" s="27"/>
      <c r="AG132" s="27"/>
      <c r="AH132" s="27"/>
      <c r="AI132" s="27"/>
      <c r="AJ132" s="27"/>
      <c r="AK132" s="27"/>
    </row>
    <row r="133" spans="4:37" ht="15.75" customHeight="1" x14ac:dyDescent="0.3"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8"/>
      <c r="AB133" s="28"/>
      <c r="AC133" s="16"/>
      <c r="AD133" s="40"/>
      <c r="AE133" s="27"/>
      <c r="AF133" s="27"/>
      <c r="AG133" s="27"/>
      <c r="AH133" s="27"/>
      <c r="AI133" s="27"/>
      <c r="AJ133" s="27"/>
      <c r="AK133" s="27"/>
    </row>
    <row r="134" spans="4:37" ht="15.75" customHeight="1" x14ac:dyDescent="0.3"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8"/>
      <c r="AB134" s="28"/>
      <c r="AC134" s="16"/>
      <c r="AD134" s="40"/>
      <c r="AE134" s="27"/>
      <c r="AF134" s="27"/>
      <c r="AG134" s="27"/>
      <c r="AH134" s="27"/>
      <c r="AI134" s="27"/>
      <c r="AJ134" s="27"/>
      <c r="AK134" s="27"/>
    </row>
    <row r="135" spans="4:37" ht="15.75" customHeight="1" x14ac:dyDescent="0.3"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8"/>
      <c r="AB135" s="28"/>
      <c r="AC135" s="16"/>
      <c r="AD135" s="40"/>
      <c r="AE135" s="27"/>
      <c r="AF135" s="27"/>
      <c r="AG135" s="27"/>
      <c r="AH135" s="27"/>
      <c r="AI135" s="27"/>
      <c r="AJ135" s="27"/>
      <c r="AK135" s="27"/>
    </row>
    <row r="136" spans="4:37" ht="15.75" customHeight="1" x14ac:dyDescent="0.3"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8"/>
      <c r="AB136" s="28"/>
      <c r="AC136" s="16"/>
      <c r="AD136" s="40"/>
      <c r="AE136" s="27"/>
      <c r="AF136" s="27"/>
      <c r="AG136" s="27"/>
      <c r="AH136" s="27"/>
      <c r="AI136" s="27"/>
      <c r="AJ136" s="27"/>
      <c r="AK136" s="27"/>
    </row>
    <row r="137" spans="4:37" ht="15.75" customHeight="1" x14ac:dyDescent="0.3"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8"/>
      <c r="AB137" s="28"/>
      <c r="AC137" s="16"/>
      <c r="AD137" s="40"/>
      <c r="AE137" s="27"/>
      <c r="AF137" s="27"/>
      <c r="AG137" s="27"/>
      <c r="AH137" s="27"/>
      <c r="AI137" s="27"/>
      <c r="AJ137" s="27"/>
      <c r="AK137" s="27"/>
    </row>
    <row r="138" spans="4:37" ht="15.75" customHeight="1" x14ac:dyDescent="0.3"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8"/>
      <c r="AB138" s="28"/>
      <c r="AC138" s="16"/>
      <c r="AD138" s="40"/>
      <c r="AE138" s="27"/>
      <c r="AF138" s="27"/>
      <c r="AG138" s="27"/>
      <c r="AH138" s="27"/>
      <c r="AI138" s="27"/>
      <c r="AJ138" s="27"/>
      <c r="AK138" s="27"/>
    </row>
    <row r="139" spans="4:37" ht="15.75" customHeight="1" x14ac:dyDescent="0.3"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8"/>
      <c r="AB139" s="28"/>
      <c r="AC139" s="16"/>
      <c r="AD139" s="40"/>
      <c r="AE139" s="27"/>
      <c r="AF139" s="27"/>
      <c r="AG139" s="27"/>
      <c r="AH139" s="27"/>
      <c r="AI139" s="27"/>
      <c r="AJ139" s="27"/>
      <c r="AK139" s="27"/>
    </row>
    <row r="140" spans="4:37" ht="15.75" customHeight="1" x14ac:dyDescent="0.3"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8"/>
      <c r="AB140" s="28"/>
      <c r="AC140" s="16"/>
      <c r="AD140" s="40"/>
      <c r="AE140" s="27"/>
      <c r="AF140" s="27"/>
      <c r="AG140" s="27"/>
      <c r="AH140" s="27"/>
      <c r="AI140" s="27"/>
      <c r="AJ140" s="27"/>
      <c r="AK140" s="27"/>
    </row>
    <row r="141" spans="4:37" ht="15.75" customHeight="1" x14ac:dyDescent="0.3"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8"/>
      <c r="AB141" s="28"/>
      <c r="AC141" s="16"/>
      <c r="AD141" s="40"/>
      <c r="AE141" s="27"/>
      <c r="AF141" s="27"/>
      <c r="AG141" s="27"/>
      <c r="AH141" s="27"/>
      <c r="AI141" s="27"/>
      <c r="AJ141" s="27"/>
      <c r="AK141" s="27"/>
    </row>
    <row r="142" spans="4:37" ht="15.75" customHeight="1" x14ac:dyDescent="0.3"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8"/>
      <c r="AB142" s="28"/>
      <c r="AC142" s="16"/>
      <c r="AD142" s="40"/>
      <c r="AE142" s="27"/>
      <c r="AF142" s="27"/>
      <c r="AG142" s="27"/>
      <c r="AH142" s="27"/>
      <c r="AI142" s="27"/>
      <c r="AJ142" s="27"/>
      <c r="AK142" s="27"/>
    </row>
    <row r="143" spans="4:37" ht="15.75" customHeight="1" x14ac:dyDescent="0.3"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8"/>
      <c r="AB143" s="28"/>
      <c r="AC143" s="16"/>
      <c r="AD143" s="40"/>
      <c r="AE143" s="27"/>
      <c r="AF143" s="27"/>
      <c r="AG143" s="27"/>
      <c r="AH143" s="27"/>
      <c r="AI143" s="27"/>
      <c r="AJ143" s="27"/>
      <c r="AK143" s="27"/>
    </row>
    <row r="144" spans="4:37" ht="15.75" customHeight="1" x14ac:dyDescent="0.3"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8"/>
      <c r="AB144" s="28"/>
      <c r="AC144" s="16"/>
      <c r="AD144" s="40"/>
      <c r="AE144" s="27"/>
      <c r="AF144" s="27"/>
      <c r="AG144" s="27"/>
      <c r="AH144" s="27"/>
      <c r="AI144" s="27"/>
      <c r="AJ144" s="27"/>
      <c r="AK144" s="27"/>
    </row>
    <row r="145" spans="4:37" ht="15.75" customHeight="1" x14ac:dyDescent="0.3"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8"/>
      <c r="AB145" s="28"/>
      <c r="AC145" s="16"/>
      <c r="AD145" s="40"/>
      <c r="AE145" s="27"/>
      <c r="AF145" s="27"/>
      <c r="AG145" s="27"/>
      <c r="AH145" s="27"/>
      <c r="AI145" s="27"/>
      <c r="AJ145" s="27"/>
      <c r="AK145" s="27"/>
    </row>
    <row r="146" spans="4:37" ht="15.75" customHeight="1" x14ac:dyDescent="0.3"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8"/>
      <c r="AB146" s="28"/>
      <c r="AC146" s="16"/>
      <c r="AD146" s="40"/>
      <c r="AE146" s="27"/>
      <c r="AF146" s="27"/>
      <c r="AG146" s="27"/>
      <c r="AH146" s="27"/>
      <c r="AI146" s="27"/>
      <c r="AJ146" s="27"/>
      <c r="AK146" s="27"/>
    </row>
    <row r="147" spans="4:37" ht="15.75" customHeight="1" x14ac:dyDescent="0.3"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9"/>
      <c r="AB147" s="29"/>
      <c r="AC147" s="16"/>
      <c r="AD147" s="40"/>
      <c r="AE147" s="27"/>
      <c r="AF147" s="27"/>
      <c r="AG147" s="27"/>
      <c r="AH147" s="27"/>
      <c r="AI147" s="27"/>
      <c r="AJ147" s="27"/>
      <c r="AK147" s="27"/>
    </row>
    <row r="148" spans="4:37" ht="15.75" customHeight="1" x14ac:dyDescent="0.3"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9"/>
      <c r="AB148" s="29"/>
      <c r="AC148" s="16"/>
      <c r="AD148" s="40"/>
      <c r="AE148" s="27"/>
      <c r="AF148" s="27"/>
      <c r="AG148" s="27"/>
      <c r="AH148" s="27"/>
      <c r="AI148" s="27"/>
      <c r="AJ148" s="27"/>
      <c r="AK148" s="27"/>
    </row>
    <row r="149" spans="4:37" ht="15.75" customHeight="1" x14ac:dyDescent="0.3"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9"/>
      <c r="AB149" s="29"/>
      <c r="AC149" s="16"/>
      <c r="AD149" s="40"/>
      <c r="AE149" s="27"/>
      <c r="AF149" s="27"/>
      <c r="AG149" s="27"/>
      <c r="AH149" s="27"/>
      <c r="AI149" s="27"/>
      <c r="AJ149" s="27"/>
      <c r="AK149" s="27"/>
    </row>
    <row r="150" spans="4:37" ht="15.75" customHeight="1" x14ac:dyDescent="0.3"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9"/>
      <c r="AB150" s="29"/>
      <c r="AC150" s="16"/>
      <c r="AD150" s="40"/>
      <c r="AE150" s="27"/>
      <c r="AF150" s="27"/>
      <c r="AG150" s="27"/>
      <c r="AH150" s="27"/>
      <c r="AI150" s="27"/>
      <c r="AJ150" s="27"/>
      <c r="AK150" s="27"/>
    </row>
    <row r="151" spans="4:37" ht="15.75" customHeight="1" x14ac:dyDescent="0.3"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9"/>
      <c r="AB151" s="29"/>
      <c r="AC151" s="16"/>
      <c r="AD151" s="40"/>
      <c r="AE151" s="27"/>
      <c r="AF151" s="27"/>
      <c r="AG151" s="27"/>
      <c r="AH151" s="27"/>
      <c r="AI151" s="27"/>
      <c r="AJ151" s="27"/>
      <c r="AK151" s="27"/>
    </row>
    <row r="152" spans="4:37" ht="15.75" customHeight="1" x14ac:dyDescent="0.3"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9"/>
      <c r="AB152" s="29"/>
      <c r="AC152" s="16"/>
      <c r="AD152" s="40"/>
      <c r="AE152" s="27"/>
      <c r="AF152" s="27"/>
      <c r="AG152" s="27"/>
      <c r="AH152" s="27"/>
      <c r="AI152" s="27"/>
      <c r="AJ152" s="27"/>
      <c r="AK152" s="27"/>
    </row>
    <row r="153" spans="4:37" ht="15.75" customHeight="1" x14ac:dyDescent="0.3"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9"/>
      <c r="AB153" s="29"/>
      <c r="AC153" s="16"/>
      <c r="AD153" s="40"/>
      <c r="AE153" s="27"/>
      <c r="AF153" s="27"/>
      <c r="AG153" s="27"/>
      <c r="AH153" s="27"/>
      <c r="AI153" s="27"/>
      <c r="AJ153" s="27"/>
      <c r="AK153" s="27"/>
    </row>
    <row r="154" spans="4:37" ht="15.75" customHeight="1" x14ac:dyDescent="0.3"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9"/>
      <c r="AB154" s="29"/>
      <c r="AC154" s="16"/>
      <c r="AD154" s="40"/>
      <c r="AE154" s="27"/>
      <c r="AF154" s="27"/>
      <c r="AG154" s="27"/>
      <c r="AH154" s="27"/>
      <c r="AI154" s="27"/>
      <c r="AJ154" s="27"/>
      <c r="AK154" s="27"/>
    </row>
    <row r="155" spans="4:37" ht="15.75" customHeight="1" x14ac:dyDescent="0.3"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9"/>
      <c r="AB155" s="29"/>
      <c r="AC155" s="16"/>
      <c r="AD155" s="40"/>
      <c r="AE155" s="27"/>
      <c r="AF155" s="27"/>
      <c r="AG155" s="27"/>
      <c r="AH155" s="27"/>
      <c r="AI155" s="27"/>
      <c r="AJ155" s="27"/>
      <c r="AK155" s="27"/>
    </row>
    <row r="156" spans="4:37" ht="15.75" customHeight="1" x14ac:dyDescent="0.3"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9"/>
      <c r="AB156" s="29"/>
      <c r="AC156" s="16"/>
      <c r="AD156" s="40"/>
      <c r="AE156" s="27"/>
      <c r="AF156" s="27"/>
      <c r="AG156" s="27"/>
      <c r="AH156" s="27"/>
      <c r="AI156" s="27"/>
      <c r="AJ156" s="27"/>
      <c r="AK156" s="27"/>
    </row>
    <row r="157" spans="4:37" ht="15.75" customHeight="1" x14ac:dyDescent="0.3"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9"/>
      <c r="AB157" s="29"/>
      <c r="AC157" s="16"/>
      <c r="AD157" s="40"/>
      <c r="AE157" s="27"/>
      <c r="AF157" s="27"/>
      <c r="AG157" s="27"/>
      <c r="AH157" s="27"/>
      <c r="AI157" s="27"/>
      <c r="AJ157" s="27"/>
      <c r="AK157" s="27"/>
    </row>
    <row r="158" spans="4:37" ht="15.75" customHeight="1" x14ac:dyDescent="0.3"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9"/>
      <c r="AB158" s="29"/>
      <c r="AC158" s="16"/>
      <c r="AD158" s="40"/>
      <c r="AE158" s="27"/>
      <c r="AF158" s="27"/>
      <c r="AG158" s="27"/>
      <c r="AH158" s="27"/>
      <c r="AI158" s="27"/>
      <c r="AJ158" s="27"/>
      <c r="AK158" s="27"/>
    </row>
    <row r="159" spans="4:37" ht="15.75" customHeight="1" x14ac:dyDescent="0.3"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9"/>
      <c r="AB159" s="29"/>
      <c r="AC159" s="16"/>
      <c r="AD159" s="40"/>
      <c r="AE159" s="27"/>
      <c r="AF159" s="27"/>
      <c r="AG159" s="27"/>
      <c r="AH159" s="27"/>
      <c r="AI159" s="27"/>
      <c r="AJ159" s="27"/>
      <c r="AK159" s="27"/>
    </row>
    <row r="160" spans="4:37" ht="15.75" customHeight="1" x14ac:dyDescent="0.3"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9"/>
      <c r="AB160" s="29"/>
      <c r="AC160" s="16"/>
      <c r="AD160" s="40"/>
      <c r="AE160" s="27"/>
      <c r="AF160" s="27"/>
      <c r="AG160" s="27"/>
      <c r="AH160" s="27"/>
      <c r="AI160" s="27"/>
      <c r="AJ160" s="27"/>
      <c r="AK160" s="27"/>
    </row>
    <row r="161" spans="4:37" ht="15.75" customHeight="1" x14ac:dyDescent="0.3"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9"/>
      <c r="AB161" s="29"/>
      <c r="AC161" s="16"/>
      <c r="AD161" s="40"/>
      <c r="AE161" s="27"/>
      <c r="AF161" s="27"/>
      <c r="AG161" s="27"/>
      <c r="AH161" s="27"/>
      <c r="AI161" s="27"/>
      <c r="AJ161" s="27"/>
      <c r="AK161" s="27"/>
    </row>
    <row r="162" spans="4:37" ht="15.75" customHeight="1" x14ac:dyDescent="0.3"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9"/>
      <c r="AB162" s="29"/>
      <c r="AC162" s="16"/>
      <c r="AD162" s="40"/>
      <c r="AE162" s="27"/>
      <c r="AF162" s="27"/>
      <c r="AG162" s="27"/>
      <c r="AH162" s="27"/>
      <c r="AI162" s="27"/>
      <c r="AJ162" s="27"/>
      <c r="AK162" s="27"/>
    </row>
    <row r="163" spans="4:37" ht="15.75" customHeight="1" x14ac:dyDescent="0.3"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9"/>
      <c r="AB163" s="29"/>
      <c r="AC163" s="16"/>
      <c r="AD163" s="40"/>
      <c r="AE163" s="27"/>
      <c r="AF163" s="27"/>
      <c r="AG163" s="27"/>
      <c r="AH163" s="27"/>
      <c r="AI163" s="27"/>
      <c r="AJ163" s="27"/>
      <c r="AK163" s="27"/>
    </row>
    <row r="164" spans="4:37" ht="15.75" customHeight="1" x14ac:dyDescent="0.3"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9"/>
      <c r="AB164" s="29"/>
      <c r="AC164" s="16"/>
      <c r="AD164" s="40"/>
      <c r="AE164" s="27"/>
      <c r="AF164" s="27"/>
      <c r="AG164" s="27"/>
      <c r="AH164" s="27"/>
      <c r="AI164" s="27"/>
      <c r="AJ164" s="27"/>
      <c r="AK164" s="27"/>
    </row>
    <row r="165" spans="4:37" ht="15.75" customHeight="1" x14ac:dyDescent="0.3"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9"/>
      <c r="AB165" s="29"/>
      <c r="AC165" s="16"/>
      <c r="AD165" s="40"/>
      <c r="AE165" s="27"/>
      <c r="AF165" s="27"/>
      <c r="AG165" s="27"/>
      <c r="AH165" s="27"/>
      <c r="AI165" s="27"/>
      <c r="AJ165" s="27"/>
      <c r="AK165" s="27"/>
    </row>
    <row r="166" spans="4:37" ht="15.75" customHeight="1" x14ac:dyDescent="0.3"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9"/>
      <c r="AB166" s="29"/>
      <c r="AC166" s="16"/>
      <c r="AD166" s="40"/>
      <c r="AE166" s="27"/>
      <c r="AF166" s="27"/>
      <c r="AG166" s="27"/>
      <c r="AH166" s="27"/>
      <c r="AI166" s="27"/>
      <c r="AJ166" s="27"/>
      <c r="AK166" s="27"/>
    </row>
    <row r="167" spans="4:37" ht="15.75" customHeight="1" x14ac:dyDescent="0.3"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9"/>
      <c r="AB167" s="29"/>
      <c r="AC167" s="16"/>
      <c r="AD167" s="40"/>
      <c r="AE167" s="27"/>
      <c r="AF167" s="27"/>
      <c r="AG167" s="27"/>
      <c r="AH167" s="27"/>
      <c r="AI167" s="27"/>
      <c r="AJ167" s="27"/>
      <c r="AK167" s="27"/>
    </row>
    <row r="168" spans="4:37" ht="15.75" customHeight="1" x14ac:dyDescent="0.3"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9"/>
      <c r="AB168" s="29"/>
      <c r="AC168" s="16"/>
      <c r="AD168" s="40"/>
      <c r="AE168" s="27"/>
      <c r="AF168" s="27"/>
      <c r="AG168" s="27"/>
      <c r="AH168" s="27"/>
      <c r="AI168" s="27"/>
      <c r="AJ168" s="27"/>
      <c r="AK168" s="27"/>
    </row>
    <row r="169" spans="4:37" ht="15.75" customHeight="1" x14ac:dyDescent="0.3"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9"/>
      <c r="AB169" s="29"/>
      <c r="AC169" s="16"/>
      <c r="AD169" s="40"/>
      <c r="AE169" s="27"/>
      <c r="AF169" s="27"/>
      <c r="AG169" s="27"/>
      <c r="AH169" s="27"/>
      <c r="AI169" s="27"/>
      <c r="AJ169" s="27"/>
      <c r="AK169" s="27"/>
    </row>
    <row r="170" spans="4:37" ht="15.75" customHeight="1" x14ac:dyDescent="0.3"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9"/>
      <c r="AB170" s="29"/>
      <c r="AC170" s="16"/>
      <c r="AD170" s="40"/>
      <c r="AE170" s="27"/>
      <c r="AF170" s="27"/>
      <c r="AG170" s="27"/>
      <c r="AH170" s="27"/>
      <c r="AI170" s="27"/>
      <c r="AJ170" s="27"/>
      <c r="AK170" s="27"/>
    </row>
    <row r="171" spans="4:37" ht="15.75" customHeight="1" x14ac:dyDescent="0.3"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9"/>
      <c r="AB171" s="29"/>
      <c r="AC171" s="16"/>
      <c r="AD171" s="40"/>
      <c r="AE171" s="27"/>
      <c r="AF171" s="27"/>
      <c r="AG171" s="27"/>
      <c r="AH171" s="27"/>
      <c r="AI171" s="27"/>
      <c r="AJ171" s="27"/>
      <c r="AK171" s="27"/>
    </row>
    <row r="172" spans="4:37" ht="15.75" customHeight="1" x14ac:dyDescent="0.3"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9"/>
      <c r="AB172" s="29"/>
      <c r="AC172" s="16"/>
      <c r="AD172" s="40"/>
      <c r="AE172" s="27"/>
      <c r="AF172" s="27"/>
      <c r="AG172" s="27"/>
      <c r="AH172" s="27"/>
      <c r="AI172" s="27"/>
      <c r="AJ172" s="27"/>
      <c r="AK172" s="27"/>
    </row>
    <row r="173" spans="4:37" ht="15.75" customHeight="1" x14ac:dyDescent="0.3"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9"/>
      <c r="AB173" s="29"/>
      <c r="AC173" s="16"/>
      <c r="AD173" s="40"/>
      <c r="AE173" s="27"/>
      <c r="AF173" s="27"/>
      <c r="AG173" s="27"/>
      <c r="AH173" s="27"/>
      <c r="AI173" s="27"/>
      <c r="AJ173" s="27"/>
      <c r="AK173" s="27"/>
    </row>
    <row r="174" spans="4:37" ht="15.75" customHeight="1" x14ac:dyDescent="0.3"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9"/>
      <c r="AB174" s="29"/>
      <c r="AC174" s="16"/>
      <c r="AD174" s="40"/>
      <c r="AE174" s="27"/>
      <c r="AF174" s="27"/>
      <c r="AG174" s="27"/>
      <c r="AH174" s="27"/>
      <c r="AI174" s="27"/>
      <c r="AJ174" s="27"/>
      <c r="AK174" s="27"/>
    </row>
    <row r="175" spans="4:37" ht="15.75" customHeight="1" x14ac:dyDescent="0.3"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9"/>
      <c r="AB175" s="29"/>
      <c r="AC175" s="16"/>
      <c r="AD175" s="40"/>
      <c r="AE175" s="27"/>
      <c r="AF175" s="27"/>
      <c r="AG175" s="27"/>
      <c r="AH175" s="27"/>
      <c r="AI175" s="27"/>
      <c r="AJ175" s="27"/>
      <c r="AK175" s="27"/>
    </row>
    <row r="176" spans="4:37" ht="15.75" customHeight="1" x14ac:dyDescent="0.3"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9"/>
      <c r="AB176" s="29"/>
      <c r="AC176" s="16"/>
      <c r="AD176" s="40"/>
      <c r="AE176" s="27"/>
      <c r="AF176" s="27"/>
      <c r="AG176" s="27"/>
      <c r="AH176" s="27"/>
      <c r="AI176" s="27"/>
      <c r="AJ176" s="27"/>
      <c r="AK176" s="27"/>
    </row>
    <row r="177" spans="4:37" ht="15.75" customHeight="1" x14ac:dyDescent="0.3"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9"/>
      <c r="AB177" s="29"/>
      <c r="AC177" s="16"/>
      <c r="AD177" s="40"/>
      <c r="AE177" s="27"/>
      <c r="AF177" s="27"/>
      <c r="AG177" s="27"/>
      <c r="AH177" s="27"/>
      <c r="AI177" s="27"/>
      <c r="AJ177" s="27"/>
      <c r="AK177" s="27"/>
    </row>
    <row r="178" spans="4:37" ht="15.75" customHeight="1" x14ac:dyDescent="0.3"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9"/>
      <c r="AB178" s="29"/>
      <c r="AC178" s="16"/>
      <c r="AD178" s="40"/>
      <c r="AE178" s="27"/>
      <c r="AF178" s="27"/>
      <c r="AG178" s="27"/>
      <c r="AH178" s="27"/>
      <c r="AI178" s="27"/>
      <c r="AJ178" s="27"/>
      <c r="AK178" s="27"/>
    </row>
    <row r="179" spans="4:37" ht="15.75" customHeight="1" x14ac:dyDescent="0.3"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9"/>
      <c r="AB179" s="29"/>
      <c r="AC179" s="16"/>
      <c r="AD179" s="40"/>
      <c r="AE179" s="27"/>
      <c r="AF179" s="27"/>
      <c r="AG179" s="27"/>
      <c r="AH179" s="27"/>
      <c r="AI179" s="27"/>
      <c r="AJ179" s="27"/>
      <c r="AK179" s="27"/>
    </row>
    <row r="180" spans="4:37" ht="15.75" customHeight="1" x14ac:dyDescent="0.3"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9"/>
      <c r="AB180" s="29"/>
      <c r="AC180" s="16"/>
      <c r="AD180" s="40"/>
      <c r="AE180" s="27"/>
      <c r="AF180" s="27"/>
      <c r="AG180" s="27"/>
      <c r="AH180" s="27"/>
      <c r="AI180" s="27"/>
      <c r="AJ180" s="27"/>
      <c r="AK180" s="27"/>
    </row>
    <row r="181" spans="4:37" ht="15.75" customHeight="1" x14ac:dyDescent="0.3"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9"/>
      <c r="AB181" s="29"/>
      <c r="AC181" s="16"/>
      <c r="AD181" s="40"/>
      <c r="AE181" s="27"/>
      <c r="AF181" s="27"/>
      <c r="AG181" s="27"/>
      <c r="AH181" s="27"/>
      <c r="AI181" s="27"/>
      <c r="AJ181" s="27"/>
      <c r="AK181" s="27"/>
    </row>
    <row r="182" spans="4:37" ht="15.75" customHeight="1" x14ac:dyDescent="0.3">
      <c r="AA182" s="30"/>
      <c r="AB182" s="30"/>
      <c r="AC182" s="16"/>
      <c r="AD182" s="41"/>
    </row>
    <row r="183" spans="4:37" ht="15.75" customHeight="1" x14ac:dyDescent="0.3">
      <c r="AA183" s="30"/>
      <c r="AB183" s="30"/>
      <c r="AC183" s="16"/>
      <c r="AD183" s="41"/>
    </row>
    <row r="184" spans="4:37" ht="15.75" customHeight="1" x14ac:dyDescent="0.3">
      <c r="AA184" s="30"/>
      <c r="AB184" s="30"/>
      <c r="AC184" s="16"/>
      <c r="AD184" s="41"/>
    </row>
    <row r="185" spans="4:37" ht="15.75" customHeight="1" x14ac:dyDescent="0.3">
      <c r="AA185" s="30"/>
      <c r="AB185" s="30"/>
      <c r="AC185" s="16"/>
      <c r="AD185" s="41"/>
    </row>
    <row r="186" spans="4:37" ht="15.75" customHeight="1" x14ac:dyDescent="0.3">
      <c r="AA186" s="30"/>
      <c r="AB186" s="30"/>
      <c r="AC186" s="16"/>
      <c r="AD186" s="41"/>
    </row>
    <row r="187" spans="4:37" ht="15.75" customHeight="1" x14ac:dyDescent="0.3">
      <c r="AA187" s="30"/>
      <c r="AB187" s="30"/>
      <c r="AC187" s="16"/>
      <c r="AD187" s="41"/>
    </row>
    <row r="188" spans="4:37" ht="15.75" customHeight="1" x14ac:dyDescent="0.3">
      <c r="AA188" s="30"/>
      <c r="AB188" s="30"/>
      <c r="AC188" s="16"/>
      <c r="AD188" s="41"/>
    </row>
    <row r="189" spans="4:37" ht="15.75" customHeight="1" x14ac:dyDescent="0.3">
      <c r="AA189" s="30"/>
      <c r="AB189" s="30"/>
      <c r="AC189" s="16"/>
      <c r="AD189" s="41"/>
    </row>
    <row r="190" spans="4:37" ht="15.75" customHeight="1" x14ac:dyDescent="0.3">
      <c r="AA190" s="30"/>
      <c r="AB190" s="30"/>
      <c r="AC190" s="16"/>
      <c r="AD190" s="41"/>
    </row>
    <row r="191" spans="4:37" ht="15.75" customHeight="1" x14ac:dyDescent="0.3">
      <c r="AA191" s="30"/>
      <c r="AB191" s="30"/>
      <c r="AC191" s="16"/>
      <c r="AD191" s="41"/>
    </row>
    <row r="192" spans="4:37" ht="15.75" customHeight="1" x14ac:dyDescent="0.3">
      <c r="AA192" s="30"/>
      <c r="AB192" s="30"/>
      <c r="AC192" s="16"/>
      <c r="AD192" s="41"/>
    </row>
    <row r="193" spans="27:30" ht="15.75" customHeight="1" x14ac:dyDescent="0.3">
      <c r="AA193" s="30"/>
      <c r="AB193" s="30"/>
      <c r="AC193" s="16"/>
      <c r="AD193" s="41"/>
    </row>
    <row r="194" spans="27:30" ht="15.75" customHeight="1" x14ac:dyDescent="0.3">
      <c r="AA194" s="30"/>
      <c r="AB194" s="30"/>
      <c r="AC194" s="16"/>
      <c r="AD194" s="41"/>
    </row>
    <row r="195" spans="27:30" ht="15.75" customHeight="1" x14ac:dyDescent="0.3">
      <c r="AA195" s="30"/>
      <c r="AB195" s="30"/>
      <c r="AC195" s="16"/>
      <c r="AD195" s="41"/>
    </row>
    <row r="196" spans="27:30" ht="15.75" customHeight="1" x14ac:dyDescent="0.3">
      <c r="AA196" s="30"/>
      <c r="AB196" s="30"/>
      <c r="AC196" s="16"/>
      <c r="AD196" s="41"/>
    </row>
    <row r="197" spans="27:30" ht="15.75" customHeight="1" x14ac:dyDescent="0.3">
      <c r="AA197" s="30"/>
      <c r="AB197" s="30"/>
      <c r="AC197" s="16"/>
      <c r="AD197" s="41"/>
    </row>
    <row r="198" spans="27:30" ht="15.75" customHeight="1" x14ac:dyDescent="0.3">
      <c r="AA198" s="30"/>
      <c r="AB198" s="30"/>
      <c r="AC198" s="16"/>
      <c r="AD198" s="41"/>
    </row>
    <row r="199" spans="27:30" ht="15.75" customHeight="1" x14ac:dyDescent="0.3">
      <c r="AA199" s="30"/>
      <c r="AB199" s="30"/>
      <c r="AC199" s="16"/>
      <c r="AD199" s="41"/>
    </row>
    <row r="200" spans="27:30" ht="15.75" customHeight="1" x14ac:dyDescent="0.3">
      <c r="AA200" s="30"/>
      <c r="AB200" s="30"/>
      <c r="AC200" s="16"/>
      <c r="AD200" s="41"/>
    </row>
    <row r="201" spans="27:30" ht="15.75" customHeight="1" x14ac:dyDescent="0.3">
      <c r="AA201" s="30"/>
      <c r="AB201" s="30"/>
      <c r="AC201" s="16"/>
      <c r="AD201" s="41"/>
    </row>
    <row r="202" spans="27:30" ht="15.75" customHeight="1" x14ac:dyDescent="0.3">
      <c r="AA202" s="30"/>
      <c r="AB202" s="30"/>
      <c r="AC202" s="16"/>
      <c r="AD202" s="41"/>
    </row>
    <row r="203" spans="27:30" ht="15.75" customHeight="1" x14ac:dyDescent="0.3">
      <c r="AA203" s="30"/>
      <c r="AB203" s="30"/>
      <c r="AC203" s="16"/>
      <c r="AD203" s="41"/>
    </row>
    <row r="204" spans="27:30" ht="15.75" customHeight="1" x14ac:dyDescent="0.3">
      <c r="AA204" s="30"/>
      <c r="AB204" s="30"/>
      <c r="AC204" s="16"/>
      <c r="AD204" s="41"/>
    </row>
    <row r="205" spans="27:30" ht="15.75" customHeight="1" x14ac:dyDescent="0.3">
      <c r="AA205" s="30"/>
      <c r="AB205" s="30"/>
      <c r="AC205" s="16"/>
      <c r="AD205" s="41"/>
    </row>
    <row r="206" spans="27:30" ht="15.75" customHeight="1" x14ac:dyDescent="0.3">
      <c r="AA206" s="30"/>
      <c r="AB206" s="30"/>
      <c r="AC206" s="16"/>
      <c r="AD206" s="41"/>
    </row>
    <row r="207" spans="27:30" ht="15.75" customHeight="1" x14ac:dyDescent="0.3">
      <c r="AA207" s="30"/>
      <c r="AB207" s="30"/>
      <c r="AC207" s="16"/>
      <c r="AD207" s="41"/>
    </row>
    <row r="208" spans="27:30" ht="15.75" customHeight="1" x14ac:dyDescent="0.3">
      <c r="AA208" s="30"/>
      <c r="AB208" s="30"/>
      <c r="AC208" s="16"/>
      <c r="AD208" s="41"/>
    </row>
    <row r="209" spans="27:30" ht="15.75" customHeight="1" x14ac:dyDescent="0.3">
      <c r="AA209" s="30"/>
      <c r="AB209" s="30"/>
      <c r="AC209" s="16"/>
      <c r="AD209" s="41"/>
    </row>
    <row r="210" spans="27:30" ht="15.75" customHeight="1" x14ac:dyDescent="0.3">
      <c r="AA210" s="30"/>
      <c r="AB210" s="30"/>
      <c r="AC210" s="16"/>
      <c r="AD210" s="41"/>
    </row>
    <row r="211" spans="27:30" ht="15.75" customHeight="1" x14ac:dyDescent="0.3">
      <c r="AA211" s="30"/>
      <c r="AB211" s="30"/>
      <c r="AC211" s="16"/>
      <c r="AD211" s="41"/>
    </row>
    <row r="212" spans="27:30" ht="15.75" customHeight="1" x14ac:dyDescent="0.3">
      <c r="AA212" s="30"/>
      <c r="AB212" s="30"/>
      <c r="AC212" s="16"/>
      <c r="AD212" s="41"/>
    </row>
    <row r="213" spans="27:30" ht="15.75" customHeight="1" x14ac:dyDescent="0.3">
      <c r="AA213" s="30"/>
      <c r="AB213" s="30"/>
      <c r="AC213" s="16"/>
      <c r="AD213" s="41"/>
    </row>
    <row r="214" spans="27:30" ht="15.75" customHeight="1" x14ac:dyDescent="0.3">
      <c r="AA214" s="30"/>
      <c r="AB214" s="30"/>
      <c r="AC214" s="16"/>
      <c r="AD214" s="41"/>
    </row>
    <row r="215" spans="27:30" ht="15.75" customHeight="1" x14ac:dyDescent="0.3">
      <c r="AA215" s="30"/>
      <c r="AB215" s="30"/>
      <c r="AC215" s="16"/>
      <c r="AD215" s="41"/>
    </row>
    <row r="216" spans="27:30" ht="15.75" customHeight="1" x14ac:dyDescent="0.3">
      <c r="AA216" s="30"/>
      <c r="AB216" s="30"/>
      <c r="AC216" s="16"/>
      <c r="AD216" s="41"/>
    </row>
    <row r="217" spans="27:30" ht="15.75" customHeight="1" x14ac:dyDescent="0.3">
      <c r="AA217" s="30"/>
      <c r="AB217" s="30"/>
      <c r="AC217" s="16"/>
      <c r="AD217" s="41"/>
    </row>
    <row r="218" spans="27:30" ht="15.75" customHeight="1" x14ac:dyDescent="0.3">
      <c r="AA218" s="30"/>
      <c r="AB218" s="30"/>
      <c r="AC218" s="16"/>
      <c r="AD218" s="41"/>
    </row>
    <row r="219" spans="27:30" ht="15.75" customHeight="1" x14ac:dyDescent="0.3">
      <c r="AA219" s="30"/>
      <c r="AB219" s="30"/>
      <c r="AC219" s="16"/>
      <c r="AD219" s="41"/>
    </row>
    <row r="220" spans="27:30" ht="15.75" customHeight="1" x14ac:dyDescent="0.3">
      <c r="AA220" s="30"/>
      <c r="AB220" s="30"/>
      <c r="AC220" s="16"/>
      <c r="AD220" s="41"/>
    </row>
    <row r="221" spans="27:30" ht="15.75" customHeight="1" x14ac:dyDescent="0.3">
      <c r="AA221" s="30"/>
      <c r="AB221" s="30"/>
      <c r="AC221" s="16"/>
      <c r="AD221" s="41"/>
    </row>
    <row r="222" spans="27:30" ht="15.75" customHeight="1" x14ac:dyDescent="0.3">
      <c r="AA222" s="30"/>
      <c r="AB222" s="30"/>
      <c r="AC222" s="16"/>
      <c r="AD222" s="41"/>
    </row>
    <row r="223" spans="27:30" ht="15.75" customHeight="1" x14ac:dyDescent="0.3">
      <c r="AA223" s="30"/>
      <c r="AB223" s="30"/>
      <c r="AC223" s="16"/>
      <c r="AD223" s="41"/>
    </row>
    <row r="224" spans="27:30" ht="15.75" customHeight="1" x14ac:dyDescent="0.3">
      <c r="AA224" s="30"/>
      <c r="AB224" s="30"/>
      <c r="AC224" s="16"/>
      <c r="AD224" s="41"/>
    </row>
    <row r="225" spans="27:30" ht="15.75" customHeight="1" x14ac:dyDescent="0.3">
      <c r="AA225" s="30"/>
      <c r="AB225" s="30"/>
      <c r="AC225" s="16"/>
      <c r="AD225" s="41"/>
    </row>
    <row r="226" spans="27:30" ht="15.75" customHeight="1" x14ac:dyDescent="0.3">
      <c r="AA226" s="30"/>
      <c r="AB226" s="30"/>
      <c r="AC226" s="16"/>
      <c r="AD226" s="41"/>
    </row>
    <row r="227" spans="27:30" ht="15.75" customHeight="1" x14ac:dyDescent="0.3">
      <c r="AA227" s="30"/>
      <c r="AB227" s="30"/>
      <c r="AC227" s="16"/>
      <c r="AD227" s="41"/>
    </row>
    <row r="228" spans="27:30" ht="15.75" customHeight="1" x14ac:dyDescent="0.3">
      <c r="AA228" s="30"/>
      <c r="AB228" s="30"/>
      <c r="AC228" s="16"/>
      <c r="AD228" s="41"/>
    </row>
    <row r="229" spans="27:30" ht="15.75" customHeight="1" x14ac:dyDescent="0.3">
      <c r="AA229" s="30"/>
      <c r="AB229" s="30"/>
      <c r="AC229" s="16"/>
      <c r="AD229" s="41"/>
    </row>
    <row r="230" spans="27:30" ht="15.75" customHeight="1" x14ac:dyDescent="0.3">
      <c r="AA230" s="30"/>
      <c r="AB230" s="30"/>
      <c r="AC230" s="16"/>
      <c r="AD230" s="41"/>
    </row>
    <row r="231" spans="27:30" ht="15.75" customHeight="1" x14ac:dyDescent="0.3">
      <c r="AA231" s="30"/>
      <c r="AB231" s="30"/>
      <c r="AC231" s="16"/>
      <c r="AD231" s="41"/>
    </row>
    <row r="232" spans="27:30" ht="15.75" customHeight="1" x14ac:dyDescent="0.3">
      <c r="AA232" s="30"/>
      <c r="AB232" s="30"/>
      <c r="AC232" s="16"/>
      <c r="AD232" s="41"/>
    </row>
    <row r="233" spans="27:30" ht="15.75" customHeight="1" x14ac:dyDescent="0.3">
      <c r="AA233" s="30"/>
      <c r="AB233" s="30"/>
      <c r="AC233" s="16"/>
      <c r="AD233" s="41"/>
    </row>
    <row r="234" spans="27:30" ht="15.75" customHeight="1" x14ac:dyDescent="0.3">
      <c r="AA234" s="30"/>
      <c r="AB234" s="30"/>
      <c r="AC234" s="16"/>
      <c r="AD234" s="41"/>
    </row>
    <row r="235" spans="27:30" ht="15.75" customHeight="1" x14ac:dyDescent="0.3">
      <c r="AA235" s="30"/>
      <c r="AB235" s="30"/>
      <c r="AC235" s="16"/>
      <c r="AD235" s="41"/>
    </row>
    <row r="236" spans="27:30" ht="15.75" customHeight="1" x14ac:dyDescent="0.3">
      <c r="AA236" s="30"/>
      <c r="AB236" s="30"/>
      <c r="AC236" s="16"/>
      <c r="AD236" s="41"/>
    </row>
    <row r="237" spans="27:30" ht="15.75" customHeight="1" x14ac:dyDescent="0.3">
      <c r="AA237" s="30"/>
      <c r="AB237" s="30"/>
      <c r="AC237" s="16"/>
      <c r="AD237" s="41"/>
    </row>
    <row r="238" spans="27:30" ht="15.75" customHeight="1" x14ac:dyDescent="0.3">
      <c r="AA238" s="30"/>
      <c r="AB238" s="30"/>
      <c r="AC238" s="16"/>
      <c r="AD238" s="41"/>
    </row>
    <row r="239" spans="27:30" ht="15.75" customHeight="1" x14ac:dyDescent="0.3">
      <c r="AA239" s="30"/>
      <c r="AB239" s="30"/>
      <c r="AC239" s="16"/>
      <c r="AD239" s="41"/>
    </row>
    <row r="240" spans="27:30" ht="15.75" customHeight="1" x14ac:dyDescent="0.3">
      <c r="AA240" s="30"/>
      <c r="AB240" s="30"/>
      <c r="AC240" s="16"/>
      <c r="AD240" s="41"/>
    </row>
    <row r="241" spans="27:30" ht="15.75" customHeight="1" x14ac:dyDescent="0.3">
      <c r="AA241" s="30"/>
      <c r="AB241" s="30"/>
      <c r="AC241" s="16"/>
      <c r="AD241" s="41"/>
    </row>
    <row r="242" spans="27:30" ht="15.75" customHeight="1" x14ac:dyDescent="0.3">
      <c r="AA242" s="30"/>
      <c r="AB242" s="30"/>
      <c r="AC242" s="16"/>
      <c r="AD242" s="41"/>
    </row>
    <row r="243" spans="27:30" ht="15.75" customHeight="1" x14ac:dyDescent="0.3">
      <c r="AA243" s="30"/>
      <c r="AB243" s="30"/>
      <c r="AC243" s="16"/>
      <c r="AD243" s="41"/>
    </row>
    <row r="244" spans="27:30" ht="15.75" customHeight="1" x14ac:dyDescent="0.3">
      <c r="AA244" s="30"/>
      <c r="AB244" s="30"/>
      <c r="AC244" s="16"/>
      <c r="AD244" s="41"/>
    </row>
    <row r="245" spans="27:30" ht="15.75" customHeight="1" x14ac:dyDescent="0.3">
      <c r="AA245" s="30"/>
      <c r="AB245" s="30"/>
      <c r="AC245" s="16"/>
      <c r="AD245" s="41"/>
    </row>
    <row r="246" spans="27:30" ht="15.75" customHeight="1" x14ac:dyDescent="0.3">
      <c r="AA246" s="30"/>
      <c r="AB246" s="30"/>
      <c r="AC246" s="16"/>
      <c r="AD246" s="41"/>
    </row>
    <row r="247" spans="27:30" ht="15.75" customHeight="1" x14ac:dyDescent="0.3">
      <c r="AA247" s="30"/>
      <c r="AB247" s="30"/>
      <c r="AC247" s="16"/>
      <c r="AD247" s="41"/>
    </row>
    <row r="248" spans="27:30" ht="15.75" customHeight="1" x14ac:dyDescent="0.3">
      <c r="AA248" s="30"/>
      <c r="AB248" s="30"/>
      <c r="AC248" s="16"/>
      <c r="AD248" s="41"/>
    </row>
    <row r="249" spans="27:30" ht="15.75" customHeight="1" x14ac:dyDescent="0.3">
      <c r="AA249" s="30"/>
      <c r="AB249" s="30"/>
      <c r="AC249" s="16"/>
      <c r="AD249" s="41"/>
    </row>
    <row r="250" spans="27:30" ht="15.75" customHeight="1" x14ac:dyDescent="0.3">
      <c r="AA250" s="30"/>
      <c r="AB250" s="30"/>
      <c r="AC250" s="16"/>
      <c r="AD250" s="41"/>
    </row>
    <row r="251" spans="27:30" ht="15.75" customHeight="1" x14ac:dyDescent="0.3">
      <c r="AA251" s="30"/>
      <c r="AB251" s="30"/>
      <c r="AC251" s="16"/>
      <c r="AD251" s="41"/>
    </row>
    <row r="252" spans="27:30" ht="15.75" customHeight="1" x14ac:dyDescent="0.3">
      <c r="AA252" s="30"/>
      <c r="AB252" s="30"/>
      <c r="AC252" s="16"/>
      <c r="AD252" s="41"/>
    </row>
    <row r="253" spans="27:30" ht="15.75" customHeight="1" x14ac:dyDescent="0.3">
      <c r="AA253" s="30"/>
      <c r="AB253" s="30"/>
      <c r="AC253" s="16"/>
      <c r="AD253" s="41"/>
    </row>
    <row r="254" spans="27:30" ht="15.75" customHeight="1" x14ac:dyDescent="0.3">
      <c r="AA254" s="30"/>
      <c r="AB254" s="30"/>
      <c r="AC254" s="16"/>
      <c r="AD254" s="41"/>
    </row>
    <row r="255" spans="27:30" ht="15.75" customHeight="1" x14ac:dyDescent="0.3">
      <c r="AA255" s="30"/>
      <c r="AB255" s="30"/>
      <c r="AC255" s="16"/>
      <c r="AD255" s="41"/>
    </row>
    <row r="256" spans="27:30" ht="15.75" customHeight="1" x14ac:dyDescent="0.3">
      <c r="AA256" s="30"/>
      <c r="AB256" s="30"/>
      <c r="AC256" s="16"/>
      <c r="AD256" s="41"/>
    </row>
    <row r="257" spans="27:30" ht="15.75" customHeight="1" x14ac:dyDescent="0.3">
      <c r="AA257" s="30"/>
      <c r="AB257" s="30"/>
      <c r="AC257" s="16"/>
      <c r="AD257" s="41"/>
    </row>
    <row r="258" spans="27:30" ht="15.75" customHeight="1" x14ac:dyDescent="0.3">
      <c r="AA258" s="30"/>
      <c r="AB258" s="30"/>
      <c r="AC258" s="16"/>
      <c r="AD258" s="41"/>
    </row>
    <row r="259" spans="27:30" ht="15.75" customHeight="1" x14ac:dyDescent="0.3">
      <c r="AA259" s="30"/>
      <c r="AB259" s="30"/>
      <c r="AC259" s="16"/>
      <c r="AD259" s="41"/>
    </row>
    <row r="260" spans="27:30" ht="15.75" customHeight="1" x14ac:dyDescent="0.3">
      <c r="AA260" s="30"/>
      <c r="AB260" s="30"/>
      <c r="AC260" s="16"/>
      <c r="AD260" s="41"/>
    </row>
    <row r="261" spans="27:30" ht="15.75" customHeight="1" x14ac:dyDescent="0.3">
      <c r="AA261" s="30"/>
      <c r="AB261" s="30"/>
      <c r="AC261" s="16"/>
      <c r="AD261" s="41"/>
    </row>
    <row r="262" spans="27:30" ht="15.75" customHeight="1" x14ac:dyDescent="0.3">
      <c r="AA262" s="30"/>
      <c r="AB262" s="30"/>
      <c r="AC262" s="16"/>
      <c r="AD262" s="41"/>
    </row>
    <row r="263" spans="27:30" ht="15.75" customHeight="1" x14ac:dyDescent="0.3">
      <c r="AA263" s="30"/>
      <c r="AB263" s="30"/>
      <c r="AC263" s="16"/>
      <c r="AD263" s="41"/>
    </row>
    <row r="264" spans="27:30" ht="15.75" customHeight="1" x14ac:dyDescent="0.3">
      <c r="AA264" s="30"/>
      <c r="AB264" s="30"/>
      <c r="AC264" s="16"/>
      <c r="AD264" s="41"/>
    </row>
    <row r="265" spans="27:30" ht="15.75" customHeight="1" x14ac:dyDescent="0.3">
      <c r="AA265" s="30"/>
      <c r="AB265" s="30"/>
      <c r="AC265" s="16"/>
      <c r="AD265" s="41"/>
    </row>
    <row r="266" spans="27:30" ht="15.75" customHeight="1" x14ac:dyDescent="0.3">
      <c r="AA266" s="30"/>
      <c r="AB266" s="30"/>
      <c r="AC266" s="16"/>
      <c r="AD266" s="41"/>
    </row>
    <row r="267" spans="27:30" ht="15.75" customHeight="1" x14ac:dyDescent="0.3">
      <c r="AA267" s="30"/>
      <c r="AB267" s="30"/>
      <c r="AC267" s="16"/>
      <c r="AD267" s="41"/>
    </row>
    <row r="268" spans="27:30" ht="15.75" customHeight="1" x14ac:dyDescent="0.3">
      <c r="AA268" s="30"/>
      <c r="AB268" s="30"/>
      <c r="AC268" s="16"/>
      <c r="AD268" s="41"/>
    </row>
    <row r="269" spans="27:30" ht="15.75" customHeight="1" x14ac:dyDescent="0.3">
      <c r="AA269" s="30"/>
      <c r="AB269" s="30"/>
      <c r="AC269" s="16"/>
      <c r="AD269" s="41"/>
    </row>
    <row r="270" spans="27:30" ht="15.75" customHeight="1" x14ac:dyDescent="0.3">
      <c r="AA270" s="30"/>
      <c r="AB270" s="30"/>
      <c r="AC270" s="16"/>
      <c r="AD270" s="41"/>
    </row>
    <row r="271" spans="27:30" ht="15.75" customHeight="1" x14ac:dyDescent="0.3">
      <c r="AA271" s="30"/>
      <c r="AB271" s="30"/>
      <c r="AC271" s="16"/>
      <c r="AD271" s="41"/>
    </row>
    <row r="272" spans="27:30" ht="15.75" customHeight="1" x14ac:dyDescent="0.3">
      <c r="AA272" s="30"/>
      <c r="AB272" s="30"/>
      <c r="AC272" s="16"/>
      <c r="AD272" s="41"/>
    </row>
    <row r="273" spans="27:30" ht="15.75" customHeight="1" x14ac:dyDescent="0.3">
      <c r="AA273" s="30"/>
      <c r="AB273" s="30"/>
      <c r="AC273" s="16"/>
      <c r="AD273" s="41"/>
    </row>
    <row r="274" spans="27:30" ht="15.75" customHeight="1" x14ac:dyDescent="0.3">
      <c r="AA274" s="30"/>
      <c r="AB274" s="30"/>
      <c r="AC274" s="16"/>
      <c r="AD274" s="41"/>
    </row>
    <row r="275" spans="27:30" ht="15.75" customHeight="1" x14ac:dyDescent="0.3">
      <c r="AA275" s="30"/>
      <c r="AB275" s="30"/>
      <c r="AC275" s="16"/>
      <c r="AD275" s="41"/>
    </row>
    <row r="276" spans="27:30" ht="15.75" customHeight="1" x14ac:dyDescent="0.3">
      <c r="AA276" s="30"/>
      <c r="AB276" s="30"/>
      <c r="AC276" s="16"/>
      <c r="AD276" s="41"/>
    </row>
    <row r="277" spans="27:30" ht="15.75" customHeight="1" x14ac:dyDescent="0.3">
      <c r="AA277" s="30"/>
      <c r="AB277" s="30"/>
      <c r="AC277" s="16"/>
      <c r="AD277" s="41"/>
    </row>
    <row r="278" spans="27:30" ht="15.75" customHeight="1" x14ac:dyDescent="0.3">
      <c r="AA278" s="30"/>
      <c r="AB278" s="30"/>
      <c r="AC278" s="16"/>
      <c r="AD278" s="41"/>
    </row>
    <row r="279" spans="27:30" ht="15.75" customHeight="1" x14ac:dyDescent="0.3">
      <c r="AA279" s="30"/>
      <c r="AB279" s="30"/>
      <c r="AC279" s="16"/>
      <c r="AD279" s="41"/>
    </row>
    <row r="280" spans="27:30" ht="15.75" customHeight="1" x14ac:dyDescent="0.3">
      <c r="AA280" s="30"/>
      <c r="AB280" s="30"/>
      <c r="AC280" s="16"/>
      <c r="AD280" s="41"/>
    </row>
    <row r="281" spans="27:30" ht="15.75" customHeight="1" x14ac:dyDescent="0.3">
      <c r="AA281" s="30"/>
      <c r="AB281" s="30"/>
      <c r="AC281" s="16"/>
      <c r="AD281" s="41"/>
    </row>
    <row r="282" spans="27:30" ht="15.75" customHeight="1" x14ac:dyDescent="0.3">
      <c r="AA282" s="30"/>
      <c r="AB282" s="30"/>
      <c r="AC282" s="16"/>
      <c r="AD282" s="41"/>
    </row>
    <row r="283" spans="27:30" ht="15.75" customHeight="1" x14ac:dyDescent="0.3">
      <c r="AA283" s="30"/>
      <c r="AB283" s="30"/>
      <c r="AC283" s="16"/>
      <c r="AD283" s="41"/>
    </row>
    <row r="284" spans="27:30" ht="15.75" customHeight="1" x14ac:dyDescent="0.3">
      <c r="AA284" s="30"/>
      <c r="AB284" s="30"/>
      <c r="AC284" s="16"/>
      <c r="AD284" s="41"/>
    </row>
    <row r="285" spans="27:30" ht="15.75" customHeight="1" x14ac:dyDescent="0.3">
      <c r="AA285" s="30"/>
      <c r="AB285" s="30"/>
      <c r="AC285" s="16"/>
      <c r="AD285" s="41"/>
    </row>
    <row r="286" spans="27:30" ht="15.75" customHeight="1" x14ac:dyDescent="0.3">
      <c r="AA286" s="30"/>
      <c r="AB286" s="30"/>
      <c r="AC286" s="16"/>
      <c r="AD286" s="41"/>
    </row>
    <row r="287" spans="27:30" ht="15.75" customHeight="1" x14ac:dyDescent="0.3">
      <c r="AA287" s="30"/>
      <c r="AB287" s="30"/>
      <c r="AC287" s="16"/>
      <c r="AD287" s="41"/>
    </row>
    <row r="288" spans="27:30" ht="15.75" customHeight="1" x14ac:dyDescent="0.3">
      <c r="AA288" s="30"/>
      <c r="AB288" s="30"/>
      <c r="AC288" s="16"/>
      <c r="AD288" s="41"/>
    </row>
    <row r="289" spans="27:30" ht="15.75" customHeight="1" x14ac:dyDescent="0.3">
      <c r="AA289" s="30"/>
      <c r="AB289" s="30"/>
      <c r="AC289" s="16"/>
      <c r="AD289" s="41"/>
    </row>
    <row r="290" spans="27:30" ht="15.75" customHeight="1" x14ac:dyDescent="0.3">
      <c r="AA290" s="30"/>
      <c r="AB290" s="30"/>
      <c r="AC290" s="16"/>
      <c r="AD290" s="41"/>
    </row>
    <row r="291" spans="27:30" ht="15.75" customHeight="1" x14ac:dyDescent="0.3">
      <c r="AA291" s="30"/>
      <c r="AB291" s="30"/>
      <c r="AC291" s="16"/>
      <c r="AD291" s="41"/>
    </row>
    <row r="292" spans="27:30" ht="15.75" customHeight="1" x14ac:dyDescent="0.3">
      <c r="AA292" s="30"/>
      <c r="AB292" s="30"/>
      <c r="AC292" s="16"/>
      <c r="AD292" s="41"/>
    </row>
    <row r="293" spans="27:30" ht="15.75" customHeight="1" x14ac:dyDescent="0.3">
      <c r="AA293" s="30"/>
      <c r="AB293" s="30"/>
      <c r="AC293" s="16"/>
      <c r="AD293" s="41"/>
    </row>
    <row r="294" spans="27:30" ht="15.75" customHeight="1" x14ac:dyDescent="0.3">
      <c r="AA294" s="30"/>
      <c r="AB294" s="30"/>
      <c r="AC294" s="16"/>
      <c r="AD294" s="41"/>
    </row>
    <row r="295" spans="27:30" ht="15.75" customHeight="1" x14ac:dyDescent="0.3">
      <c r="AA295" s="30"/>
      <c r="AB295" s="30"/>
      <c r="AC295" s="16"/>
      <c r="AD295" s="41"/>
    </row>
    <row r="296" spans="27:30" ht="15.75" customHeight="1" x14ac:dyDescent="0.3">
      <c r="AA296" s="30"/>
      <c r="AB296" s="30"/>
      <c r="AC296" s="16"/>
      <c r="AD296" s="41"/>
    </row>
    <row r="297" spans="27:30" ht="15.75" customHeight="1" x14ac:dyDescent="0.3">
      <c r="AA297" s="30"/>
      <c r="AB297" s="30"/>
      <c r="AC297" s="16"/>
      <c r="AD297" s="41"/>
    </row>
    <row r="298" spans="27:30" ht="15.75" customHeight="1" x14ac:dyDescent="0.3">
      <c r="AA298" s="30"/>
      <c r="AB298" s="30"/>
      <c r="AC298" s="16"/>
      <c r="AD298" s="41"/>
    </row>
    <row r="299" spans="27:30" ht="15.75" customHeight="1" x14ac:dyDescent="0.3">
      <c r="AA299" s="30"/>
      <c r="AB299" s="30"/>
      <c r="AC299" s="16"/>
      <c r="AD299" s="41"/>
    </row>
    <row r="300" spans="27:30" ht="15.75" customHeight="1" x14ac:dyDescent="0.3">
      <c r="AA300" s="30"/>
      <c r="AB300" s="30"/>
      <c r="AC300" s="16"/>
      <c r="AD300" s="41"/>
    </row>
    <row r="301" spans="27:30" ht="15.75" customHeight="1" x14ac:dyDescent="0.3">
      <c r="AA301" s="30"/>
      <c r="AB301" s="30"/>
      <c r="AC301" s="16"/>
      <c r="AD301" s="41"/>
    </row>
    <row r="302" spans="27:30" ht="15.75" customHeight="1" x14ac:dyDescent="0.3">
      <c r="AA302" s="30"/>
      <c r="AB302" s="30"/>
      <c r="AC302" s="16"/>
      <c r="AD302" s="41"/>
    </row>
    <row r="303" spans="27:30" ht="15.75" customHeight="1" x14ac:dyDescent="0.3">
      <c r="AA303" s="30"/>
      <c r="AB303" s="30"/>
      <c r="AC303" s="16"/>
      <c r="AD303" s="41"/>
    </row>
    <row r="304" spans="27:30" ht="15.75" customHeight="1" x14ac:dyDescent="0.3">
      <c r="AA304" s="30"/>
      <c r="AB304" s="30"/>
      <c r="AC304" s="16"/>
      <c r="AD304" s="41"/>
    </row>
    <row r="305" spans="27:30" ht="15.75" customHeight="1" x14ac:dyDescent="0.3">
      <c r="AA305" s="30"/>
      <c r="AB305" s="30"/>
      <c r="AC305" s="16"/>
      <c r="AD305" s="41"/>
    </row>
    <row r="306" spans="27:30" ht="15.75" customHeight="1" x14ac:dyDescent="0.3">
      <c r="AA306" s="30"/>
      <c r="AB306" s="30"/>
      <c r="AC306" s="16"/>
      <c r="AD306" s="41"/>
    </row>
    <row r="307" spans="27:30" ht="15.75" customHeight="1" x14ac:dyDescent="0.3">
      <c r="AA307" s="30"/>
      <c r="AB307" s="30"/>
      <c r="AC307" s="16"/>
      <c r="AD307" s="41"/>
    </row>
    <row r="308" spans="27:30" ht="15.75" customHeight="1" x14ac:dyDescent="0.3">
      <c r="AA308" s="30"/>
      <c r="AB308" s="30"/>
      <c r="AC308" s="16"/>
      <c r="AD308" s="41"/>
    </row>
    <row r="309" spans="27:30" ht="15.75" customHeight="1" x14ac:dyDescent="0.3">
      <c r="AA309" s="30"/>
      <c r="AB309" s="30"/>
      <c r="AC309" s="16"/>
      <c r="AD309" s="41"/>
    </row>
    <row r="310" spans="27:30" ht="15.75" customHeight="1" x14ac:dyDescent="0.3">
      <c r="AA310" s="30"/>
      <c r="AB310" s="30"/>
      <c r="AC310" s="16"/>
      <c r="AD310" s="41"/>
    </row>
    <row r="311" spans="27:30" ht="15.75" customHeight="1" x14ac:dyDescent="0.3">
      <c r="AA311" s="30"/>
      <c r="AB311" s="30"/>
      <c r="AC311" s="16"/>
      <c r="AD311" s="41"/>
    </row>
    <row r="312" spans="27:30" ht="15.75" customHeight="1" x14ac:dyDescent="0.3">
      <c r="AA312" s="30"/>
      <c r="AB312" s="30"/>
      <c r="AC312" s="16"/>
      <c r="AD312" s="41"/>
    </row>
    <row r="313" spans="27:30" ht="15.75" customHeight="1" x14ac:dyDescent="0.3">
      <c r="AA313" s="30"/>
      <c r="AB313" s="30"/>
      <c r="AC313" s="16"/>
      <c r="AD313" s="41"/>
    </row>
    <row r="314" spans="27:30" ht="15.75" customHeight="1" x14ac:dyDescent="0.3">
      <c r="AA314" s="30"/>
      <c r="AB314" s="30"/>
      <c r="AC314" s="16"/>
      <c r="AD314" s="41"/>
    </row>
    <row r="315" spans="27:30" ht="15.75" customHeight="1" x14ac:dyDescent="0.3">
      <c r="AA315" s="30"/>
      <c r="AB315" s="30"/>
      <c r="AC315" s="16"/>
      <c r="AD315" s="41"/>
    </row>
    <row r="316" spans="27:30" ht="15.75" customHeight="1" x14ac:dyDescent="0.3">
      <c r="AA316" s="30"/>
      <c r="AB316" s="30"/>
      <c r="AC316" s="16"/>
      <c r="AD316" s="41"/>
    </row>
    <row r="317" spans="27:30" ht="15.75" customHeight="1" x14ac:dyDescent="0.3">
      <c r="AA317" s="30"/>
      <c r="AB317" s="30"/>
      <c r="AC317" s="16"/>
      <c r="AD317" s="41"/>
    </row>
    <row r="318" spans="27:30" ht="15.75" customHeight="1" x14ac:dyDescent="0.3">
      <c r="AA318" s="30"/>
      <c r="AB318" s="30"/>
      <c r="AC318" s="16"/>
      <c r="AD318" s="41"/>
    </row>
    <row r="319" spans="27:30" ht="15.75" customHeight="1" x14ac:dyDescent="0.3">
      <c r="AA319" s="30"/>
      <c r="AB319" s="30"/>
      <c r="AC319" s="16"/>
      <c r="AD319" s="41"/>
    </row>
    <row r="320" spans="27:30" ht="15.75" customHeight="1" x14ac:dyDescent="0.3">
      <c r="AA320" s="30"/>
      <c r="AB320" s="30"/>
      <c r="AC320" s="16"/>
      <c r="AD320" s="41"/>
    </row>
    <row r="321" spans="27:30" ht="15.75" customHeight="1" x14ac:dyDescent="0.3">
      <c r="AA321" s="30"/>
      <c r="AB321" s="30"/>
      <c r="AC321" s="16"/>
      <c r="AD321" s="41"/>
    </row>
    <row r="322" spans="27:30" ht="15.75" customHeight="1" x14ac:dyDescent="0.3">
      <c r="AA322" s="30"/>
      <c r="AB322" s="30"/>
      <c r="AC322" s="16"/>
      <c r="AD322" s="41"/>
    </row>
    <row r="323" spans="27:30" ht="15.75" customHeight="1" x14ac:dyDescent="0.3">
      <c r="AA323" s="30"/>
      <c r="AB323" s="30"/>
      <c r="AC323" s="16"/>
      <c r="AD323" s="41"/>
    </row>
    <row r="324" spans="27:30" ht="15.75" customHeight="1" x14ac:dyDescent="0.3">
      <c r="AA324" s="30"/>
      <c r="AB324" s="30"/>
      <c r="AC324" s="16"/>
      <c r="AD324" s="41"/>
    </row>
    <row r="325" spans="27:30" ht="15.75" customHeight="1" x14ac:dyDescent="0.3">
      <c r="AA325" s="30"/>
      <c r="AB325" s="30"/>
      <c r="AC325" s="16"/>
      <c r="AD325" s="41"/>
    </row>
    <row r="326" spans="27:30" ht="15.75" customHeight="1" x14ac:dyDescent="0.3">
      <c r="AA326" s="30"/>
      <c r="AB326" s="30"/>
      <c r="AC326" s="16"/>
      <c r="AD326" s="41"/>
    </row>
    <row r="327" spans="27:30" ht="15.75" customHeight="1" x14ac:dyDescent="0.3">
      <c r="AA327" s="30"/>
      <c r="AB327" s="30"/>
      <c r="AC327" s="16"/>
      <c r="AD327" s="41"/>
    </row>
    <row r="328" spans="27:30" ht="15.75" customHeight="1" x14ac:dyDescent="0.3">
      <c r="AA328" s="30"/>
      <c r="AB328" s="30"/>
      <c r="AC328" s="16"/>
      <c r="AD328" s="41"/>
    </row>
    <row r="329" spans="27:30" ht="15.75" customHeight="1" x14ac:dyDescent="0.3">
      <c r="AA329" s="30"/>
      <c r="AB329" s="30"/>
      <c r="AC329" s="16"/>
      <c r="AD329" s="41"/>
    </row>
    <row r="330" spans="27:30" ht="15.75" customHeight="1" x14ac:dyDescent="0.3">
      <c r="AA330" s="30"/>
      <c r="AB330" s="30"/>
      <c r="AC330" s="16"/>
      <c r="AD330" s="41"/>
    </row>
    <row r="331" spans="27:30" ht="15.75" customHeight="1" x14ac:dyDescent="0.3">
      <c r="AA331" s="30"/>
      <c r="AB331" s="30"/>
      <c r="AC331" s="16"/>
      <c r="AD331" s="41"/>
    </row>
    <row r="332" spans="27:30" ht="15.75" customHeight="1" x14ac:dyDescent="0.3">
      <c r="AA332" s="30"/>
      <c r="AB332" s="30"/>
      <c r="AC332" s="16"/>
      <c r="AD332" s="41"/>
    </row>
    <row r="333" spans="27:30" ht="15.75" customHeight="1" x14ac:dyDescent="0.3">
      <c r="AA333" s="30"/>
      <c r="AB333" s="30"/>
      <c r="AC333" s="16"/>
      <c r="AD333" s="41"/>
    </row>
    <row r="334" spans="27:30" ht="15.75" customHeight="1" x14ac:dyDescent="0.3">
      <c r="AA334" s="30"/>
      <c r="AB334" s="30"/>
      <c r="AC334" s="16"/>
      <c r="AD334" s="41"/>
    </row>
    <row r="335" spans="27:30" ht="15.75" customHeight="1" x14ac:dyDescent="0.3">
      <c r="AA335" s="30"/>
      <c r="AB335" s="30"/>
      <c r="AC335" s="16"/>
      <c r="AD335" s="41"/>
    </row>
    <row r="336" spans="27:30" ht="15.75" customHeight="1" x14ac:dyDescent="0.3">
      <c r="AA336" s="30"/>
      <c r="AB336" s="30"/>
      <c r="AC336" s="16"/>
      <c r="AD336" s="41"/>
    </row>
    <row r="337" spans="27:30" ht="15.75" customHeight="1" x14ac:dyDescent="0.3">
      <c r="AA337" s="30"/>
      <c r="AB337" s="30"/>
      <c r="AC337" s="16"/>
      <c r="AD337" s="41"/>
    </row>
    <row r="338" spans="27:30" ht="15.75" customHeight="1" x14ac:dyDescent="0.3">
      <c r="AA338" s="30"/>
      <c r="AB338" s="30"/>
      <c r="AC338" s="16"/>
      <c r="AD338" s="41"/>
    </row>
    <row r="339" spans="27:30" ht="15.75" customHeight="1" x14ac:dyDescent="0.3">
      <c r="AA339" s="30"/>
      <c r="AB339" s="30"/>
      <c r="AC339" s="16"/>
      <c r="AD339" s="41"/>
    </row>
    <row r="340" spans="27:30" ht="15.75" customHeight="1" x14ac:dyDescent="0.3">
      <c r="AA340" s="30"/>
      <c r="AB340" s="30"/>
      <c r="AC340" s="16"/>
      <c r="AD340" s="41"/>
    </row>
    <row r="341" spans="27:30" ht="15.75" customHeight="1" x14ac:dyDescent="0.3">
      <c r="AA341" s="30"/>
      <c r="AB341" s="30"/>
      <c r="AC341" s="16"/>
      <c r="AD341" s="41"/>
    </row>
    <row r="342" spans="27:30" ht="15.75" customHeight="1" x14ac:dyDescent="0.3">
      <c r="AA342" s="30"/>
      <c r="AB342" s="30"/>
      <c r="AC342" s="16"/>
      <c r="AD342" s="41"/>
    </row>
    <row r="343" spans="27:30" ht="15.75" customHeight="1" x14ac:dyDescent="0.3">
      <c r="AA343" s="30"/>
      <c r="AB343" s="30"/>
      <c r="AC343" s="16"/>
      <c r="AD343" s="41"/>
    </row>
    <row r="344" spans="27:30" ht="15.75" customHeight="1" x14ac:dyDescent="0.3">
      <c r="AA344" s="30"/>
      <c r="AB344" s="30"/>
      <c r="AC344" s="16"/>
      <c r="AD344" s="41"/>
    </row>
    <row r="345" spans="27:30" ht="15.75" customHeight="1" x14ac:dyDescent="0.3">
      <c r="AA345" s="30"/>
      <c r="AB345" s="30"/>
      <c r="AC345" s="16"/>
      <c r="AD345" s="41"/>
    </row>
    <row r="346" spans="27:30" ht="15.75" customHeight="1" x14ac:dyDescent="0.3">
      <c r="AA346" s="30"/>
      <c r="AB346" s="30"/>
      <c r="AC346" s="16"/>
      <c r="AD346" s="41"/>
    </row>
    <row r="347" spans="27:30" ht="15.75" customHeight="1" x14ac:dyDescent="0.3">
      <c r="AA347" s="30"/>
      <c r="AB347" s="30"/>
      <c r="AC347" s="16"/>
      <c r="AD347" s="41"/>
    </row>
    <row r="348" spans="27:30" ht="15.75" customHeight="1" x14ac:dyDescent="0.3">
      <c r="AA348" s="30"/>
      <c r="AB348" s="30"/>
      <c r="AC348" s="16"/>
      <c r="AD348" s="41"/>
    </row>
    <row r="349" spans="27:30" ht="15.75" customHeight="1" x14ac:dyDescent="0.3">
      <c r="AA349" s="30"/>
      <c r="AB349" s="30"/>
      <c r="AC349" s="16"/>
      <c r="AD349" s="41"/>
    </row>
    <row r="350" spans="27:30" ht="15.75" customHeight="1" x14ac:dyDescent="0.3">
      <c r="AA350" s="30"/>
      <c r="AB350" s="30"/>
      <c r="AC350" s="16"/>
      <c r="AD350" s="41"/>
    </row>
    <row r="351" spans="27:30" ht="15.75" customHeight="1" x14ac:dyDescent="0.3">
      <c r="AA351" s="30"/>
      <c r="AB351" s="30"/>
      <c r="AC351" s="16"/>
      <c r="AD351" s="41"/>
    </row>
    <row r="352" spans="27:30" ht="15.75" customHeight="1" x14ac:dyDescent="0.3">
      <c r="AA352" s="30"/>
      <c r="AB352" s="30"/>
      <c r="AC352" s="16"/>
      <c r="AD352" s="41"/>
    </row>
    <row r="353" spans="27:30" ht="15.75" customHeight="1" x14ac:dyDescent="0.3">
      <c r="AA353" s="30"/>
      <c r="AB353" s="30"/>
      <c r="AC353" s="16"/>
      <c r="AD353" s="41"/>
    </row>
    <row r="354" spans="27:30" ht="15.75" customHeight="1" x14ac:dyDescent="0.3">
      <c r="AA354" s="30"/>
      <c r="AB354" s="30"/>
      <c r="AC354" s="16"/>
      <c r="AD354" s="41"/>
    </row>
    <row r="355" spans="27:30" ht="15.75" customHeight="1" x14ac:dyDescent="0.3">
      <c r="AA355" s="30"/>
      <c r="AB355" s="30"/>
      <c r="AC355" s="16"/>
      <c r="AD355" s="41"/>
    </row>
    <row r="356" spans="27:30" ht="15.75" customHeight="1" x14ac:dyDescent="0.3">
      <c r="AA356" s="30"/>
      <c r="AB356" s="30"/>
      <c r="AC356" s="16"/>
      <c r="AD356" s="41"/>
    </row>
    <row r="357" spans="27:30" ht="15.75" customHeight="1" x14ac:dyDescent="0.3">
      <c r="AA357" s="30"/>
      <c r="AB357" s="30"/>
      <c r="AC357" s="16"/>
      <c r="AD357" s="41"/>
    </row>
    <row r="358" spans="27:30" ht="15.75" customHeight="1" x14ac:dyDescent="0.3">
      <c r="AA358" s="30"/>
      <c r="AB358" s="30"/>
      <c r="AC358" s="16"/>
      <c r="AD358" s="41"/>
    </row>
    <row r="359" spans="27:30" ht="15.75" customHeight="1" x14ac:dyDescent="0.3">
      <c r="AA359" s="30"/>
      <c r="AB359" s="30"/>
      <c r="AC359" s="16"/>
      <c r="AD359" s="41"/>
    </row>
    <row r="360" spans="27:30" ht="15.75" customHeight="1" x14ac:dyDescent="0.3">
      <c r="AA360" s="30"/>
      <c r="AB360" s="30"/>
      <c r="AC360" s="16"/>
      <c r="AD360" s="41"/>
    </row>
    <row r="361" spans="27:30" ht="15.75" customHeight="1" x14ac:dyDescent="0.3">
      <c r="AA361" s="30"/>
      <c r="AB361" s="30"/>
      <c r="AC361" s="16"/>
      <c r="AD361" s="41"/>
    </row>
    <row r="362" spans="27:30" ht="15.75" customHeight="1" x14ac:dyDescent="0.3">
      <c r="AA362" s="30"/>
      <c r="AB362" s="30"/>
      <c r="AC362" s="16"/>
      <c r="AD362" s="41"/>
    </row>
    <row r="363" spans="27:30" ht="15.75" customHeight="1" x14ac:dyDescent="0.3">
      <c r="AA363" s="30"/>
      <c r="AB363" s="30"/>
      <c r="AC363" s="16"/>
      <c r="AD363" s="41"/>
    </row>
    <row r="364" spans="27:30" ht="15.75" customHeight="1" x14ac:dyDescent="0.3">
      <c r="AA364" s="30"/>
      <c r="AB364" s="30"/>
      <c r="AC364" s="16"/>
      <c r="AD364" s="41"/>
    </row>
    <row r="365" spans="27:30" ht="15.75" customHeight="1" x14ac:dyDescent="0.3">
      <c r="AA365" s="30"/>
      <c r="AB365" s="30"/>
      <c r="AC365" s="16"/>
      <c r="AD365" s="41"/>
    </row>
    <row r="366" spans="27:30" ht="15.75" customHeight="1" x14ac:dyDescent="0.3">
      <c r="AA366" s="30"/>
      <c r="AB366" s="30"/>
      <c r="AC366" s="16"/>
      <c r="AD366" s="41"/>
    </row>
    <row r="367" spans="27:30" ht="15.75" customHeight="1" x14ac:dyDescent="0.3">
      <c r="AA367" s="30"/>
      <c r="AB367" s="30"/>
      <c r="AC367" s="16"/>
      <c r="AD367" s="41"/>
    </row>
    <row r="368" spans="27:30" ht="15.75" customHeight="1" x14ac:dyDescent="0.3">
      <c r="AA368" s="30"/>
      <c r="AB368" s="30"/>
      <c r="AC368" s="16"/>
      <c r="AD368" s="41"/>
    </row>
    <row r="369" spans="27:30" ht="15.75" customHeight="1" x14ac:dyDescent="0.3">
      <c r="AA369" s="30"/>
      <c r="AB369" s="30"/>
      <c r="AC369" s="16"/>
      <c r="AD369" s="41"/>
    </row>
    <row r="370" spans="27:30" ht="15.75" customHeight="1" x14ac:dyDescent="0.3">
      <c r="AA370" s="30"/>
      <c r="AB370" s="30"/>
      <c r="AC370" s="16"/>
      <c r="AD370" s="41"/>
    </row>
    <row r="371" spans="27:30" ht="15.75" customHeight="1" x14ac:dyDescent="0.3">
      <c r="AA371" s="30"/>
      <c r="AB371" s="30"/>
      <c r="AC371" s="16"/>
      <c r="AD371" s="41"/>
    </row>
    <row r="372" spans="27:30" ht="15.75" customHeight="1" x14ac:dyDescent="0.3">
      <c r="AA372" s="30"/>
      <c r="AB372" s="30"/>
      <c r="AC372" s="16"/>
      <c r="AD372" s="41"/>
    </row>
    <row r="373" spans="27:30" ht="15.75" customHeight="1" x14ac:dyDescent="0.3">
      <c r="AA373" s="30"/>
      <c r="AB373" s="30"/>
      <c r="AC373" s="16"/>
      <c r="AD373" s="41"/>
    </row>
    <row r="374" spans="27:30" ht="15.75" customHeight="1" x14ac:dyDescent="0.3">
      <c r="AA374" s="30"/>
      <c r="AB374" s="30"/>
      <c r="AC374" s="16"/>
      <c r="AD374" s="41"/>
    </row>
    <row r="375" spans="27:30" ht="15.75" customHeight="1" x14ac:dyDescent="0.3">
      <c r="AA375" s="30"/>
      <c r="AB375" s="30"/>
      <c r="AC375" s="16"/>
      <c r="AD375" s="41"/>
    </row>
    <row r="376" spans="27:30" ht="15.75" customHeight="1" x14ac:dyDescent="0.3">
      <c r="AA376" s="30"/>
      <c r="AB376" s="30"/>
      <c r="AC376" s="16"/>
      <c r="AD376" s="41"/>
    </row>
    <row r="377" spans="27:30" ht="15.75" customHeight="1" x14ac:dyDescent="0.3">
      <c r="AA377" s="30"/>
      <c r="AB377" s="30"/>
      <c r="AC377" s="16"/>
      <c r="AD377" s="41"/>
    </row>
    <row r="378" spans="27:30" ht="15.75" customHeight="1" x14ac:dyDescent="0.3">
      <c r="AA378" s="30"/>
      <c r="AB378" s="30"/>
      <c r="AC378" s="16"/>
      <c r="AD378" s="41"/>
    </row>
    <row r="379" spans="27:30" ht="15.75" customHeight="1" x14ac:dyDescent="0.3">
      <c r="AA379" s="30"/>
      <c r="AB379" s="30"/>
      <c r="AC379" s="16"/>
      <c r="AD379" s="41"/>
    </row>
    <row r="380" spans="27:30" ht="15.75" customHeight="1" x14ac:dyDescent="0.3">
      <c r="AA380" s="30"/>
      <c r="AB380" s="30"/>
      <c r="AC380" s="16"/>
      <c r="AD380" s="41"/>
    </row>
    <row r="381" spans="27:30" ht="15.75" customHeight="1" x14ac:dyDescent="0.3">
      <c r="AA381" s="30"/>
      <c r="AB381" s="30"/>
      <c r="AC381" s="16"/>
      <c r="AD381" s="41"/>
    </row>
    <row r="382" spans="27:30" ht="15.75" customHeight="1" x14ac:dyDescent="0.3">
      <c r="AA382" s="30"/>
      <c r="AB382" s="30"/>
      <c r="AC382" s="16"/>
      <c r="AD382" s="41"/>
    </row>
    <row r="383" spans="27:30" ht="15.75" customHeight="1" x14ac:dyDescent="0.3">
      <c r="AA383" s="30"/>
      <c r="AB383" s="30"/>
      <c r="AC383" s="16"/>
      <c r="AD383" s="41"/>
    </row>
    <row r="384" spans="27:30" ht="15.75" customHeight="1" x14ac:dyDescent="0.3">
      <c r="AA384" s="30"/>
      <c r="AB384" s="30"/>
      <c r="AC384" s="16"/>
      <c r="AD384" s="41"/>
    </row>
    <row r="385" spans="27:30" ht="15.75" customHeight="1" x14ac:dyDescent="0.3">
      <c r="AA385" s="30"/>
      <c r="AB385" s="30"/>
      <c r="AC385" s="16"/>
      <c r="AD385" s="41"/>
    </row>
    <row r="386" spans="27:30" ht="15.75" customHeight="1" x14ac:dyDescent="0.3">
      <c r="AA386" s="30"/>
      <c r="AB386" s="30"/>
      <c r="AC386" s="16"/>
      <c r="AD386" s="41"/>
    </row>
    <row r="387" spans="27:30" ht="15.75" customHeight="1" x14ac:dyDescent="0.3">
      <c r="AA387" s="30"/>
      <c r="AB387" s="30"/>
      <c r="AC387" s="16"/>
      <c r="AD387" s="41"/>
    </row>
    <row r="388" spans="27:30" ht="15.75" customHeight="1" x14ac:dyDescent="0.3">
      <c r="AA388" s="30"/>
      <c r="AB388" s="30"/>
      <c r="AC388" s="16"/>
      <c r="AD388" s="41"/>
    </row>
    <row r="389" spans="27:30" ht="15.75" customHeight="1" x14ac:dyDescent="0.3">
      <c r="AA389" s="30"/>
      <c r="AB389" s="30"/>
      <c r="AC389" s="16"/>
      <c r="AD389" s="41"/>
    </row>
    <row r="390" spans="27:30" ht="15.75" customHeight="1" x14ac:dyDescent="0.3">
      <c r="AA390" s="30"/>
      <c r="AB390" s="30"/>
      <c r="AC390" s="16"/>
      <c r="AD390" s="41"/>
    </row>
    <row r="391" spans="27:30" ht="15.75" customHeight="1" x14ac:dyDescent="0.3">
      <c r="AA391" s="30"/>
      <c r="AB391" s="30"/>
      <c r="AC391" s="16"/>
      <c r="AD391" s="41"/>
    </row>
    <row r="392" spans="27:30" ht="15.75" customHeight="1" x14ac:dyDescent="0.3">
      <c r="AA392" s="30"/>
      <c r="AB392" s="30"/>
      <c r="AC392" s="16"/>
      <c r="AD392" s="41"/>
    </row>
    <row r="393" spans="27:30" ht="15.75" customHeight="1" x14ac:dyDescent="0.3">
      <c r="AA393" s="30"/>
      <c r="AB393" s="30"/>
      <c r="AC393" s="16"/>
      <c r="AD393" s="41"/>
    </row>
    <row r="394" spans="27:30" ht="15.75" customHeight="1" x14ac:dyDescent="0.3">
      <c r="AA394" s="30"/>
      <c r="AB394" s="30"/>
      <c r="AC394" s="16"/>
      <c r="AD394" s="41"/>
    </row>
    <row r="395" spans="27:30" ht="15.75" customHeight="1" x14ac:dyDescent="0.3">
      <c r="AA395" s="30"/>
      <c r="AB395" s="30"/>
      <c r="AC395" s="16"/>
      <c r="AD395" s="41"/>
    </row>
    <row r="396" spans="27:30" ht="15.75" customHeight="1" x14ac:dyDescent="0.3">
      <c r="AA396" s="30"/>
      <c r="AB396" s="30"/>
      <c r="AC396" s="16"/>
      <c r="AD396" s="41"/>
    </row>
    <row r="397" spans="27:30" ht="15.75" customHeight="1" x14ac:dyDescent="0.3">
      <c r="AA397" s="30"/>
      <c r="AB397" s="30"/>
      <c r="AC397" s="16"/>
      <c r="AD397" s="41"/>
    </row>
    <row r="398" spans="27:30" ht="15.75" customHeight="1" x14ac:dyDescent="0.3">
      <c r="AA398" s="30"/>
      <c r="AB398" s="30"/>
      <c r="AC398" s="16"/>
      <c r="AD398" s="41"/>
    </row>
    <row r="399" spans="27:30" ht="15.75" customHeight="1" x14ac:dyDescent="0.3">
      <c r="AA399" s="30"/>
      <c r="AB399" s="30"/>
      <c r="AC399" s="16"/>
      <c r="AD399" s="41"/>
    </row>
    <row r="400" spans="27:30" ht="15.75" customHeight="1" x14ac:dyDescent="0.3">
      <c r="AA400" s="30"/>
      <c r="AB400" s="30"/>
      <c r="AC400" s="16"/>
      <c r="AD400" s="41"/>
    </row>
    <row r="401" spans="27:30" ht="15.75" customHeight="1" x14ac:dyDescent="0.3">
      <c r="AA401" s="30"/>
      <c r="AB401" s="30"/>
      <c r="AC401" s="16"/>
      <c r="AD401" s="41"/>
    </row>
    <row r="402" spans="27:30" ht="15.75" customHeight="1" x14ac:dyDescent="0.3">
      <c r="AA402" s="30"/>
      <c r="AB402" s="30"/>
      <c r="AC402" s="16"/>
      <c r="AD402" s="41"/>
    </row>
    <row r="403" spans="27:30" ht="15.75" customHeight="1" x14ac:dyDescent="0.3">
      <c r="AA403" s="30"/>
      <c r="AB403" s="30"/>
      <c r="AC403" s="16"/>
      <c r="AD403" s="41"/>
    </row>
    <row r="404" spans="27:30" ht="15.75" customHeight="1" x14ac:dyDescent="0.3">
      <c r="AA404" s="30"/>
      <c r="AB404" s="30"/>
      <c r="AC404" s="16"/>
      <c r="AD404" s="41"/>
    </row>
    <row r="405" spans="27:30" ht="15.75" customHeight="1" x14ac:dyDescent="0.3">
      <c r="AA405" s="30"/>
      <c r="AB405" s="30"/>
      <c r="AC405" s="16"/>
      <c r="AD405" s="41"/>
    </row>
    <row r="406" spans="27:30" ht="15.75" customHeight="1" x14ac:dyDescent="0.3">
      <c r="AA406" s="30"/>
      <c r="AB406" s="30"/>
      <c r="AC406" s="16"/>
      <c r="AD406" s="41"/>
    </row>
    <row r="407" spans="27:30" ht="15.75" customHeight="1" x14ac:dyDescent="0.3">
      <c r="AA407" s="30"/>
      <c r="AB407" s="30"/>
      <c r="AC407" s="16"/>
      <c r="AD407" s="41"/>
    </row>
    <row r="408" spans="27:30" ht="15.75" customHeight="1" x14ac:dyDescent="0.3">
      <c r="AA408" s="30"/>
      <c r="AB408" s="30"/>
      <c r="AC408" s="16"/>
      <c r="AD408" s="41"/>
    </row>
    <row r="409" spans="27:30" ht="15.75" customHeight="1" x14ac:dyDescent="0.3">
      <c r="AA409" s="30"/>
      <c r="AB409" s="30"/>
      <c r="AC409" s="16"/>
      <c r="AD409" s="41"/>
    </row>
    <row r="410" spans="27:30" ht="15.75" customHeight="1" x14ac:dyDescent="0.3">
      <c r="AA410" s="30"/>
      <c r="AB410" s="30"/>
      <c r="AC410" s="16"/>
      <c r="AD410" s="41"/>
    </row>
    <row r="411" spans="27:30" ht="15.75" customHeight="1" x14ac:dyDescent="0.3">
      <c r="AA411" s="30"/>
      <c r="AB411" s="30"/>
      <c r="AC411" s="16"/>
      <c r="AD411" s="41"/>
    </row>
    <row r="412" spans="27:30" ht="15.75" customHeight="1" x14ac:dyDescent="0.3">
      <c r="AA412" s="30"/>
      <c r="AB412" s="30"/>
      <c r="AC412" s="16"/>
      <c r="AD412" s="41"/>
    </row>
    <row r="413" spans="27:30" ht="15.75" customHeight="1" x14ac:dyDescent="0.3">
      <c r="AA413" s="30"/>
      <c r="AB413" s="30"/>
      <c r="AC413" s="16"/>
      <c r="AD413" s="41"/>
    </row>
    <row r="414" spans="27:30" ht="15.75" customHeight="1" x14ac:dyDescent="0.3">
      <c r="AA414" s="30"/>
      <c r="AB414" s="30"/>
      <c r="AC414" s="16"/>
      <c r="AD414" s="41"/>
    </row>
    <row r="415" spans="27:30" ht="15.75" customHeight="1" x14ac:dyDescent="0.3">
      <c r="AA415" s="30"/>
      <c r="AB415" s="30"/>
      <c r="AC415" s="16"/>
      <c r="AD415" s="41"/>
    </row>
    <row r="416" spans="27:30" ht="15.75" customHeight="1" x14ac:dyDescent="0.3">
      <c r="AA416" s="30"/>
      <c r="AB416" s="30"/>
      <c r="AC416" s="16"/>
      <c r="AD416" s="41"/>
    </row>
    <row r="417" spans="27:30" ht="15.75" customHeight="1" x14ac:dyDescent="0.3">
      <c r="AA417" s="30"/>
      <c r="AB417" s="30"/>
      <c r="AC417" s="16"/>
      <c r="AD417" s="41"/>
    </row>
    <row r="418" spans="27:30" ht="15.75" customHeight="1" x14ac:dyDescent="0.3">
      <c r="AA418" s="30"/>
      <c r="AB418" s="30"/>
      <c r="AC418" s="16"/>
      <c r="AD418" s="41"/>
    </row>
    <row r="419" spans="27:30" ht="15.75" customHeight="1" x14ac:dyDescent="0.3">
      <c r="AA419" s="30"/>
      <c r="AB419" s="30"/>
      <c r="AC419" s="16"/>
      <c r="AD419" s="41"/>
    </row>
    <row r="420" spans="27:30" ht="15.75" customHeight="1" x14ac:dyDescent="0.3">
      <c r="AA420" s="30"/>
      <c r="AB420" s="30"/>
      <c r="AC420" s="16"/>
      <c r="AD420" s="41"/>
    </row>
    <row r="421" spans="27:30" ht="15.75" customHeight="1" x14ac:dyDescent="0.3">
      <c r="AA421" s="30"/>
      <c r="AB421" s="30"/>
      <c r="AC421" s="16"/>
      <c r="AD421" s="41"/>
    </row>
    <row r="422" spans="27:30" ht="15.75" customHeight="1" x14ac:dyDescent="0.3">
      <c r="AA422" s="30"/>
      <c r="AB422" s="30"/>
      <c r="AC422" s="16"/>
      <c r="AD422" s="41"/>
    </row>
    <row r="423" spans="27:30" ht="15.75" customHeight="1" x14ac:dyDescent="0.3">
      <c r="AA423" s="30"/>
      <c r="AB423" s="30"/>
      <c r="AC423" s="16"/>
      <c r="AD423" s="41"/>
    </row>
    <row r="424" spans="27:30" ht="15.75" customHeight="1" x14ac:dyDescent="0.3">
      <c r="AA424" s="30"/>
      <c r="AB424" s="30"/>
      <c r="AC424" s="16"/>
      <c r="AD424" s="41"/>
    </row>
    <row r="425" spans="27:30" ht="15.75" customHeight="1" x14ac:dyDescent="0.3">
      <c r="AA425" s="30"/>
      <c r="AB425" s="30"/>
      <c r="AC425" s="16"/>
      <c r="AD425" s="41"/>
    </row>
    <row r="426" spans="27:30" ht="15.75" customHeight="1" x14ac:dyDescent="0.3">
      <c r="AA426" s="30"/>
      <c r="AB426" s="30"/>
      <c r="AC426" s="16"/>
      <c r="AD426" s="41"/>
    </row>
    <row r="427" spans="27:30" ht="15.75" customHeight="1" x14ac:dyDescent="0.3">
      <c r="AA427" s="30"/>
      <c r="AB427" s="30"/>
      <c r="AC427" s="16"/>
      <c r="AD427" s="41"/>
    </row>
    <row r="428" spans="27:30" ht="15.75" customHeight="1" x14ac:dyDescent="0.3">
      <c r="AA428" s="30"/>
      <c r="AB428" s="30"/>
      <c r="AC428" s="16"/>
      <c r="AD428" s="41"/>
    </row>
    <row r="429" spans="27:30" ht="15.75" customHeight="1" x14ac:dyDescent="0.3">
      <c r="AA429" s="30"/>
      <c r="AB429" s="30"/>
      <c r="AC429" s="16"/>
      <c r="AD429" s="41"/>
    </row>
    <row r="430" spans="27:30" ht="15.75" customHeight="1" x14ac:dyDescent="0.3">
      <c r="AA430" s="30"/>
      <c r="AB430" s="30"/>
      <c r="AC430" s="16"/>
      <c r="AD430" s="41"/>
    </row>
    <row r="431" spans="27:30" ht="15.75" customHeight="1" x14ac:dyDescent="0.3">
      <c r="AA431" s="30"/>
      <c r="AB431" s="30"/>
      <c r="AC431" s="16"/>
      <c r="AD431" s="41"/>
    </row>
    <row r="432" spans="27:30" ht="15.75" customHeight="1" x14ac:dyDescent="0.3">
      <c r="AA432" s="30"/>
      <c r="AB432" s="30"/>
      <c r="AC432" s="16"/>
      <c r="AD432" s="41"/>
    </row>
    <row r="433" spans="27:30" ht="15.75" customHeight="1" x14ac:dyDescent="0.3">
      <c r="AA433" s="30"/>
      <c r="AB433" s="30"/>
      <c r="AC433" s="16"/>
      <c r="AD433" s="41"/>
    </row>
    <row r="434" spans="27:30" ht="15.75" customHeight="1" x14ac:dyDescent="0.3">
      <c r="AA434" s="30"/>
      <c r="AB434" s="30"/>
      <c r="AC434" s="16"/>
      <c r="AD434" s="41"/>
    </row>
    <row r="435" spans="27:30" ht="15.75" customHeight="1" x14ac:dyDescent="0.3">
      <c r="AA435" s="30"/>
      <c r="AB435" s="30"/>
      <c r="AC435" s="16"/>
      <c r="AD435" s="41"/>
    </row>
    <row r="436" spans="27:30" ht="15.75" customHeight="1" x14ac:dyDescent="0.3">
      <c r="AA436" s="30"/>
      <c r="AB436" s="30"/>
      <c r="AC436" s="16"/>
      <c r="AD436" s="41"/>
    </row>
    <row r="437" spans="27:30" ht="15.75" customHeight="1" x14ac:dyDescent="0.3">
      <c r="AA437" s="30"/>
      <c r="AB437" s="30"/>
      <c r="AC437" s="16"/>
      <c r="AD437" s="41"/>
    </row>
    <row r="438" spans="27:30" ht="15.75" customHeight="1" x14ac:dyDescent="0.3">
      <c r="AA438" s="30"/>
      <c r="AB438" s="30"/>
      <c r="AC438" s="16"/>
      <c r="AD438" s="41"/>
    </row>
    <row r="439" spans="27:30" ht="15.75" customHeight="1" x14ac:dyDescent="0.3">
      <c r="AA439" s="30"/>
      <c r="AB439" s="30"/>
      <c r="AC439" s="16"/>
      <c r="AD439" s="41"/>
    </row>
    <row r="440" spans="27:30" ht="15.75" customHeight="1" x14ac:dyDescent="0.3">
      <c r="AA440" s="30"/>
      <c r="AB440" s="30"/>
      <c r="AC440" s="16"/>
      <c r="AD440" s="41"/>
    </row>
    <row r="441" spans="27:30" ht="15.75" customHeight="1" x14ac:dyDescent="0.3">
      <c r="AA441" s="30"/>
      <c r="AB441" s="30"/>
      <c r="AC441" s="16"/>
      <c r="AD441" s="41"/>
    </row>
    <row r="442" spans="27:30" ht="15.75" customHeight="1" x14ac:dyDescent="0.3">
      <c r="AA442" s="30"/>
      <c r="AB442" s="30"/>
      <c r="AC442" s="16"/>
      <c r="AD442" s="41"/>
    </row>
    <row r="443" spans="27:30" ht="15.75" customHeight="1" x14ac:dyDescent="0.3">
      <c r="AA443" s="30"/>
      <c r="AB443" s="30"/>
      <c r="AC443" s="16"/>
      <c r="AD443" s="41"/>
    </row>
    <row r="444" spans="27:30" ht="15.75" customHeight="1" x14ac:dyDescent="0.3">
      <c r="AA444" s="30"/>
      <c r="AB444" s="30"/>
      <c r="AC444" s="16"/>
      <c r="AD444" s="41"/>
    </row>
    <row r="445" spans="27:30" ht="15.75" customHeight="1" x14ac:dyDescent="0.3">
      <c r="AA445" s="30"/>
      <c r="AB445" s="30"/>
      <c r="AC445" s="16"/>
      <c r="AD445" s="41"/>
    </row>
    <row r="446" spans="27:30" ht="15.75" customHeight="1" x14ac:dyDescent="0.3">
      <c r="AA446" s="30"/>
      <c r="AB446" s="30"/>
      <c r="AC446" s="16"/>
      <c r="AD446" s="41"/>
    </row>
    <row r="447" spans="27:30" ht="15.75" customHeight="1" x14ac:dyDescent="0.3">
      <c r="AA447" s="30"/>
      <c r="AB447" s="30"/>
      <c r="AC447" s="16"/>
      <c r="AD447" s="41"/>
    </row>
    <row r="448" spans="27:30" ht="15.75" customHeight="1" x14ac:dyDescent="0.3">
      <c r="AA448" s="30"/>
      <c r="AB448" s="30"/>
      <c r="AC448" s="16"/>
      <c r="AD448" s="41"/>
    </row>
    <row r="449" spans="27:30" ht="15.75" customHeight="1" x14ac:dyDescent="0.3">
      <c r="AA449" s="30"/>
      <c r="AB449" s="30"/>
      <c r="AC449" s="16"/>
      <c r="AD449" s="41"/>
    </row>
    <row r="450" spans="27:30" ht="15.75" customHeight="1" x14ac:dyDescent="0.3">
      <c r="AA450" s="30"/>
      <c r="AB450" s="30"/>
      <c r="AC450" s="16"/>
      <c r="AD450" s="41"/>
    </row>
    <row r="451" spans="27:30" ht="15.75" customHeight="1" x14ac:dyDescent="0.3">
      <c r="AA451" s="30"/>
      <c r="AB451" s="30"/>
      <c r="AC451" s="16"/>
      <c r="AD451" s="41"/>
    </row>
    <row r="452" spans="27:30" ht="15.75" customHeight="1" x14ac:dyDescent="0.3">
      <c r="AA452" s="30"/>
      <c r="AB452" s="30"/>
      <c r="AC452" s="16"/>
      <c r="AD452" s="41"/>
    </row>
    <row r="453" spans="27:30" ht="15.75" customHeight="1" x14ac:dyDescent="0.3">
      <c r="AA453" s="30"/>
      <c r="AB453" s="30"/>
      <c r="AC453" s="16"/>
      <c r="AD453" s="41"/>
    </row>
    <row r="454" spans="27:30" ht="15.75" customHeight="1" x14ac:dyDescent="0.3">
      <c r="AA454" s="30"/>
      <c r="AB454" s="30"/>
      <c r="AC454" s="16"/>
      <c r="AD454" s="41"/>
    </row>
    <row r="455" spans="27:30" ht="15.75" customHeight="1" x14ac:dyDescent="0.3">
      <c r="AA455" s="30"/>
      <c r="AB455" s="30"/>
      <c r="AC455" s="16"/>
      <c r="AD455" s="41"/>
    </row>
    <row r="456" spans="27:30" ht="15.75" customHeight="1" x14ac:dyDescent="0.3">
      <c r="AA456" s="30"/>
      <c r="AB456" s="30"/>
      <c r="AC456" s="16"/>
      <c r="AD456" s="41"/>
    </row>
    <row r="457" spans="27:30" ht="15.75" customHeight="1" x14ac:dyDescent="0.3">
      <c r="AA457" s="30"/>
      <c r="AB457" s="30"/>
      <c r="AC457" s="16"/>
      <c r="AD457" s="41"/>
    </row>
    <row r="458" spans="27:30" ht="15.75" customHeight="1" x14ac:dyDescent="0.3">
      <c r="AA458" s="30"/>
      <c r="AB458" s="30"/>
      <c r="AC458" s="16"/>
      <c r="AD458" s="41"/>
    </row>
    <row r="459" spans="27:30" ht="15.75" customHeight="1" x14ac:dyDescent="0.3">
      <c r="AA459" s="30"/>
      <c r="AB459" s="30"/>
      <c r="AC459" s="16"/>
      <c r="AD459" s="41"/>
    </row>
    <row r="460" spans="27:30" ht="15.75" customHeight="1" x14ac:dyDescent="0.3">
      <c r="AA460" s="30"/>
      <c r="AB460" s="30"/>
      <c r="AC460" s="16"/>
      <c r="AD460" s="41"/>
    </row>
    <row r="461" spans="27:30" ht="15.75" customHeight="1" x14ac:dyDescent="0.3">
      <c r="AA461" s="30"/>
      <c r="AB461" s="30"/>
      <c r="AC461" s="16"/>
      <c r="AD461" s="41"/>
    </row>
    <row r="462" spans="27:30" ht="15.75" customHeight="1" x14ac:dyDescent="0.3">
      <c r="AA462" s="30"/>
      <c r="AB462" s="30"/>
      <c r="AC462" s="16"/>
      <c r="AD462" s="41"/>
    </row>
    <row r="463" spans="27:30" ht="15.75" customHeight="1" x14ac:dyDescent="0.3">
      <c r="AA463" s="30"/>
      <c r="AB463" s="30"/>
      <c r="AC463" s="16"/>
      <c r="AD463" s="41"/>
    </row>
    <row r="464" spans="27:30" ht="15.75" customHeight="1" x14ac:dyDescent="0.3">
      <c r="AA464" s="30"/>
      <c r="AB464" s="30"/>
      <c r="AC464" s="16"/>
      <c r="AD464" s="41"/>
    </row>
    <row r="465" spans="27:30" ht="15.75" customHeight="1" x14ac:dyDescent="0.3">
      <c r="AA465" s="30"/>
      <c r="AB465" s="30"/>
      <c r="AC465" s="16"/>
      <c r="AD465" s="41"/>
    </row>
    <row r="466" spans="27:30" ht="15.75" customHeight="1" x14ac:dyDescent="0.3">
      <c r="AA466" s="30"/>
      <c r="AB466" s="30"/>
      <c r="AC466" s="16"/>
      <c r="AD466" s="41"/>
    </row>
    <row r="467" spans="27:30" ht="15.75" customHeight="1" x14ac:dyDescent="0.3">
      <c r="AA467" s="30"/>
      <c r="AB467" s="30"/>
      <c r="AC467" s="16"/>
      <c r="AD467" s="41"/>
    </row>
    <row r="468" spans="27:30" ht="15.75" customHeight="1" x14ac:dyDescent="0.3">
      <c r="AA468" s="30"/>
      <c r="AB468" s="30"/>
      <c r="AC468" s="16"/>
      <c r="AD468" s="41"/>
    </row>
    <row r="469" spans="27:30" ht="15.75" customHeight="1" x14ac:dyDescent="0.3">
      <c r="AA469" s="30"/>
      <c r="AB469" s="30"/>
      <c r="AC469" s="16"/>
      <c r="AD469" s="41"/>
    </row>
    <row r="470" spans="27:30" ht="15.75" customHeight="1" x14ac:dyDescent="0.3">
      <c r="AA470" s="30"/>
      <c r="AB470" s="30"/>
      <c r="AC470" s="16"/>
      <c r="AD470" s="41"/>
    </row>
    <row r="471" spans="27:30" ht="15.75" customHeight="1" x14ac:dyDescent="0.3">
      <c r="AA471" s="30"/>
      <c r="AB471" s="30"/>
      <c r="AC471" s="16"/>
      <c r="AD471" s="41"/>
    </row>
    <row r="472" spans="27:30" ht="15.75" customHeight="1" x14ac:dyDescent="0.3">
      <c r="AA472" s="30"/>
      <c r="AB472" s="30"/>
      <c r="AC472" s="16"/>
      <c r="AD472" s="41"/>
    </row>
    <row r="473" spans="27:30" ht="15.75" customHeight="1" x14ac:dyDescent="0.3">
      <c r="AA473" s="30"/>
      <c r="AB473" s="30"/>
      <c r="AC473" s="16"/>
      <c r="AD473" s="41"/>
    </row>
    <row r="474" spans="27:30" ht="15.75" customHeight="1" x14ac:dyDescent="0.3">
      <c r="AA474" s="30"/>
      <c r="AB474" s="30"/>
      <c r="AC474" s="16"/>
      <c r="AD474" s="41"/>
    </row>
    <row r="475" spans="27:30" ht="15.75" customHeight="1" x14ac:dyDescent="0.3">
      <c r="AA475" s="30"/>
      <c r="AB475" s="30"/>
      <c r="AC475" s="16"/>
      <c r="AD475" s="41"/>
    </row>
    <row r="476" spans="27:30" ht="15.75" customHeight="1" x14ac:dyDescent="0.3">
      <c r="AA476" s="30"/>
      <c r="AB476" s="30"/>
      <c r="AC476" s="16"/>
      <c r="AD476" s="41"/>
    </row>
    <row r="477" spans="27:30" ht="15.75" customHeight="1" x14ac:dyDescent="0.3">
      <c r="AA477" s="30"/>
      <c r="AB477" s="30"/>
      <c r="AC477" s="16"/>
      <c r="AD477" s="41"/>
    </row>
    <row r="478" spans="27:30" ht="15.75" customHeight="1" x14ac:dyDescent="0.3">
      <c r="AA478" s="30"/>
      <c r="AB478" s="30"/>
      <c r="AC478" s="16"/>
      <c r="AD478" s="41"/>
    </row>
    <row r="479" spans="27:30" ht="15.75" customHeight="1" x14ac:dyDescent="0.3">
      <c r="AA479" s="30"/>
      <c r="AB479" s="30"/>
      <c r="AC479" s="16"/>
      <c r="AD479" s="41"/>
    </row>
    <row r="480" spans="27:30" ht="15.75" customHeight="1" x14ac:dyDescent="0.3">
      <c r="AA480" s="30"/>
      <c r="AB480" s="30"/>
      <c r="AC480" s="16"/>
      <c r="AD480" s="41"/>
    </row>
    <row r="481" spans="27:30" ht="15.75" customHeight="1" x14ac:dyDescent="0.3">
      <c r="AA481" s="30"/>
      <c r="AB481" s="30"/>
      <c r="AC481" s="16"/>
      <c r="AD481" s="41"/>
    </row>
    <row r="482" spans="27:30" ht="15.75" customHeight="1" x14ac:dyDescent="0.3">
      <c r="AA482" s="30"/>
      <c r="AB482" s="30"/>
      <c r="AC482" s="16"/>
      <c r="AD482" s="41"/>
    </row>
    <row r="483" spans="27:30" ht="15.75" customHeight="1" x14ac:dyDescent="0.3">
      <c r="AA483" s="30"/>
      <c r="AB483" s="30"/>
      <c r="AC483" s="16"/>
      <c r="AD483" s="41"/>
    </row>
    <row r="484" spans="27:30" ht="15.75" customHeight="1" x14ac:dyDescent="0.3">
      <c r="AA484" s="30"/>
      <c r="AB484" s="30"/>
      <c r="AC484" s="16"/>
      <c r="AD484" s="41"/>
    </row>
    <row r="485" spans="27:30" ht="15.75" customHeight="1" x14ac:dyDescent="0.3">
      <c r="AA485" s="30"/>
      <c r="AB485" s="30"/>
      <c r="AC485" s="16"/>
      <c r="AD485" s="41"/>
    </row>
    <row r="486" spans="27:30" ht="15.75" customHeight="1" x14ac:dyDescent="0.3">
      <c r="AA486" s="30"/>
      <c r="AB486" s="30"/>
      <c r="AC486" s="16"/>
      <c r="AD486" s="41"/>
    </row>
    <row r="487" spans="27:30" ht="15.75" customHeight="1" x14ac:dyDescent="0.3">
      <c r="AA487" s="30"/>
      <c r="AB487" s="30"/>
      <c r="AC487" s="16"/>
      <c r="AD487" s="41"/>
    </row>
    <row r="488" spans="27:30" ht="15.75" customHeight="1" x14ac:dyDescent="0.3">
      <c r="AA488" s="30"/>
      <c r="AB488" s="30"/>
      <c r="AC488" s="16"/>
      <c r="AD488" s="41"/>
    </row>
    <row r="489" spans="27:30" ht="15.75" customHeight="1" x14ac:dyDescent="0.3">
      <c r="AA489" s="30"/>
      <c r="AB489" s="30"/>
      <c r="AC489" s="16"/>
      <c r="AD489" s="41"/>
    </row>
    <row r="490" spans="27:30" ht="15.75" customHeight="1" x14ac:dyDescent="0.3">
      <c r="AA490" s="30"/>
      <c r="AB490" s="30"/>
      <c r="AC490" s="16"/>
      <c r="AD490" s="41"/>
    </row>
    <row r="491" spans="27:30" ht="15.75" customHeight="1" x14ac:dyDescent="0.3">
      <c r="AA491" s="30"/>
      <c r="AB491" s="30"/>
      <c r="AC491" s="16"/>
      <c r="AD491" s="41"/>
    </row>
    <row r="492" spans="27:30" ht="15.75" customHeight="1" x14ac:dyDescent="0.3">
      <c r="AA492" s="30"/>
      <c r="AB492" s="30"/>
      <c r="AC492" s="16"/>
      <c r="AD492" s="41"/>
    </row>
    <row r="493" spans="27:30" ht="15.75" customHeight="1" x14ac:dyDescent="0.3">
      <c r="AA493" s="30"/>
      <c r="AB493" s="30"/>
      <c r="AC493" s="16"/>
      <c r="AD493" s="41"/>
    </row>
    <row r="494" spans="27:30" ht="15.75" customHeight="1" x14ac:dyDescent="0.3">
      <c r="AA494" s="30"/>
      <c r="AB494" s="30"/>
      <c r="AC494" s="16"/>
      <c r="AD494" s="41"/>
    </row>
    <row r="495" spans="27:30" ht="15.75" customHeight="1" x14ac:dyDescent="0.3">
      <c r="AA495" s="30"/>
      <c r="AB495" s="30"/>
      <c r="AC495" s="16"/>
      <c r="AD495" s="41"/>
    </row>
    <row r="496" spans="27:30" ht="15.75" customHeight="1" x14ac:dyDescent="0.3">
      <c r="AA496" s="30"/>
      <c r="AB496" s="30"/>
      <c r="AC496" s="16"/>
      <c r="AD496" s="41"/>
    </row>
    <row r="497" spans="27:30" ht="15.75" customHeight="1" x14ac:dyDescent="0.3">
      <c r="AA497" s="30"/>
      <c r="AB497" s="30"/>
      <c r="AC497" s="16"/>
      <c r="AD497" s="41"/>
    </row>
    <row r="498" spans="27:30" ht="15.75" customHeight="1" x14ac:dyDescent="0.3">
      <c r="AA498" s="30"/>
      <c r="AB498" s="30"/>
      <c r="AC498" s="16"/>
      <c r="AD498" s="41"/>
    </row>
    <row r="499" spans="27:30" ht="15.75" customHeight="1" x14ac:dyDescent="0.3">
      <c r="AA499" s="30"/>
      <c r="AB499" s="30"/>
      <c r="AC499" s="16"/>
      <c r="AD499" s="41"/>
    </row>
    <row r="500" spans="27:30" ht="15.75" customHeight="1" x14ac:dyDescent="0.3">
      <c r="AA500" s="30"/>
      <c r="AB500" s="30"/>
      <c r="AC500" s="16"/>
      <c r="AD500" s="41"/>
    </row>
    <row r="501" spans="27:30" ht="15.75" customHeight="1" x14ac:dyDescent="0.3">
      <c r="AA501" s="30"/>
      <c r="AB501" s="30"/>
      <c r="AC501" s="16"/>
      <c r="AD501" s="41"/>
    </row>
    <row r="502" spans="27:30" ht="15.75" customHeight="1" x14ac:dyDescent="0.3">
      <c r="AA502" s="30"/>
      <c r="AB502" s="30"/>
      <c r="AC502" s="16"/>
      <c r="AD502" s="41"/>
    </row>
    <row r="503" spans="27:30" ht="15.75" customHeight="1" x14ac:dyDescent="0.3">
      <c r="AA503" s="30"/>
      <c r="AB503" s="30"/>
      <c r="AC503" s="16"/>
      <c r="AD503" s="41"/>
    </row>
    <row r="504" spans="27:30" ht="15.75" customHeight="1" x14ac:dyDescent="0.3">
      <c r="AA504" s="30"/>
      <c r="AB504" s="30"/>
      <c r="AC504" s="16"/>
      <c r="AD504" s="41"/>
    </row>
    <row r="505" spans="27:30" ht="15.75" customHeight="1" x14ac:dyDescent="0.3">
      <c r="AA505" s="30"/>
      <c r="AB505" s="30"/>
      <c r="AC505" s="16"/>
      <c r="AD505" s="41"/>
    </row>
    <row r="506" spans="27:30" ht="15.75" customHeight="1" x14ac:dyDescent="0.3">
      <c r="AA506" s="30"/>
      <c r="AB506" s="30"/>
      <c r="AC506" s="16"/>
      <c r="AD506" s="41"/>
    </row>
    <row r="507" spans="27:30" ht="15.75" customHeight="1" x14ac:dyDescent="0.3">
      <c r="AA507" s="30"/>
      <c r="AB507" s="30"/>
      <c r="AC507" s="16"/>
      <c r="AD507" s="41"/>
    </row>
    <row r="508" spans="27:30" ht="15.75" customHeight="1" x14ac:dyDescent="0.3">
      <c r="AA508" s="30"/>
      <c r="AB508" s="30"/>
      <c r="AC508" s="16"/>
      <c r="AD508" s="41"/>
    </row>
    <row r="509" spans="27:30" ht="15.75" customHeight="1" x14ac:dyDescent="0.3">
      <c r="AA509" s="30"/>
      <c r="AB509" s="30"/>
      <c r="AC509" s="16"/>
      <c r="AD509" s="41"/>
    </row>
    <row r="510" spans="27:30" ht="15.75" customHeight="1" x14ac:dyDescent="0.3">
      <c r="AA510" s="30"/>
      <c r="AB510" s="30"/>
      <c r="AC510" s="16"/>
      <c r="AD510" s="41"/>
    </row>
    <row r="511" spans="27:30" ht="15.75" customHeight="1" x14ac:dyDescent="0.3">
      <c r="AA511" s="30"/>
      <c r="AB511" s="30"/>
      <c r="AC511" s="16"/>
      <c r="AD511" s="41"/>
    </row>
    <row r="512" spans="27:30" ht="15.75" customHeight="1" x14ac:dyDescent="0.3">
      <c r="AA512" s="30"/>
      <c r="AB512" s="30"/>
      <c r="AC512" s="16"/>
      <c r="AD512" s="41"/>
    </row>
    <row r="513" spans="27:30" ht="15.75" customHeight="1" x14ac:dyDescent="0.3">
      <c r="AA513" s="30"/>
      <c r="AB513" s="30"/>
      <c r="AC513" s="16"/>
      <c r="AD513" s="41"/>
    </row>
    <row r="514" spans="27:30" ht="15.75" customHeight="1" x14ac:dyDescent="0.3">
      <c r="AA514" s="30"/>
      <c r="AB514" s="30"/>
      <c r="AC514" s="16"/>
      <c r="AD514" s="41"/>
    </row>
    <row r="515" spans="27:30" ht="15.75" customHeight="1" x14ac:dyDescent="0.3">
      <c r="AA515" s="30"/>
      <c r="AB515" s="30"/>
      <c r="AC515" s="16"/>
      <c r="AD515" s="41"/>
    </row>
    <row r="516" spans="27:30" ht="15.75" customHeight="1" x14ac:dyDescent="0.3">
      <c r="AA516" s="30"/>
      <c r="AB516" s="30"/>
      <c r="AC516" s="16"/>
      <c r="AD516" s="41"/>
    </row>
    <row r="517" spans="27:30" ht="15.75" customHeight="1" x14ac:dyDescent="0.3">
      <c r="AA517" s="30"/>
      <c r="AB517" s="30"/>
      <c r="AC517" s="16"/>
      <c r="AD517" s="41"/>
    </row>
    <row r="518" spans="27:30" ht="15.75" customHeight="1" x14ac:dyDescent="0.3">
      <c r="AA518" s="30"/>
      <c r="AB518" s="30"/>
      <c r="AC518" s="16"/>
      <c r="AD518" s="41"/>
    </row>
    <row r="519" spans="27:30" ht="15.75" customHeight="1" x14ac:dyDescent="0.3">
      <c r="AA519" s="30"/>
      <c r="AB519" s="30"/>
      <c r="AC519" s="16"/>
      <c r="AD519" s="41"/>
    </row>
    <row r="520" spans="27:30" ht="15.75" customHeight="1" x14ac:dyDescent="0.3">
      <c r="AA520" s="30"/>
      <c r="AB520" s="30"/>
      <c r="AC520" s="16"/>
      <c r="AD520" s="41"/>
    </row>
    <row r="521" spans="27:30" ht="15.75" customHeight="1" x14ac:dyDescent="0.3">
      <c r="AA521" s="30"/>
      <c r="AB521" s="30"/>
      <c r="AC521" s="16"/>
      <c r="AD521" s="41"/>
    </row>
    <row r="522" spans="27:30" ht="15.75" customHeight="1" x14ac:dyDescent="0.3">
      <c r="AA522" s="30"/>
      <c r="AB522" s="30"/>
      <c r="AC522" s="16"/>
      <c r="AD522" s="41"/>
    </row>
    <row r="523" spans="27:30" ht="15.75" customHeight="1" x14ac:dyDescent="0.3">
      <c r="AA523" s="30"/>
      <c r="AB523" s="30"/>
      <c r="AC523" s="16"/>
      <c r="AD523" s="41"/>
    </row>
    <row r="524" spans="27:30" ht="15.75" customHeight="1" x14ac:dyDescent="0.3">
      <c r="AA524" s="30"/>
      <c r="AB524" s="30"/>
      <c r="AC524" s="16"/>
      <c r="AD524" s="41"/>
    </row>
    <row r="525" spans="27:30" ht="15.75" customHeight="1" x14ac:dyDescent="0.3">
      <c r="AA525" s="30"/>
      <c r="AB525" s="30"/>
      <c r="AC525" s="16"/>
      <c r="AD525" s="41"/>
    </row>
    <row r="526" spans="27:30" ht="15.75" customHeight="1" x14ac:dyDescent="0.3">
      <c r="AA526" s="30"/>
      <c r="AB526" s="30"/>
      <c r="AC526" s="16"/>
      <c r="AD526" s="41"/>
    </row>
    <row r="527" spans="27:30" ht="15.75" customHeight="1" x14ac:dyDescent="0.3">
      <c r="AA527" s="30"/>
      <c r="AB527" s="30"/>
      <c r="AC527" s="16"/>
      <c r="AD527" s="41"/>
    </row>
    <row r="528" spans="27:30" ht="15.75" customHeight="1" x14ac:dyDescent="0.3">
      <c r="AA528" s="30"/>
      <c r="AB528" s="30"/>
      <c r="AC528" s="16"/>
      <c r="AD528" s="41"/>
    </row>
    <row r="529" spans="27:30" ht="15.75" customHeight="1" x14ac:dyDescent="0.3">
      <c r="AA529" s="30"/>
      <c r="AB529" s="30"/>
      <c r="AC529" s="16"/>
      <c r="AD529" s="41"/>
    </row>
    <row r="530" spans="27:30" ht="15.75" customHeight="1" x14ac:dyDescent="0.3">
      <c r="AA530" s="30"/>
      <c r="AB530" s="30"/>
      <c r="AC530" s="16"/>
      <c r="AD530" s="41"/>
    </row>
    <row r="531" spans="27:30" ht="15.75" customHeight="1" x14ac:dyDescent="0.3">
      <c r="AA531" s="30"/>
      <c r="AB531" s="30"/>
      <c r="AC531" s="16"/>
      <c r="AD531" s="41"/>
    </row>
    <row r="532" spans="27:30" ht="15.75" customHeight="1" x14ac:dyDescent="0.3">
      <c r="AA532" s="30"/>
      <c r="AB532" s="30"/>
      <c r="AC532" s="16"/>
      <c r="AD532" s="41"/>
    </row>
    <row r="533" spans="27:30" ht="15.75" customHeight="1" x14ac:dyDescent="0.3">
      <c r="AA533" s="30"/>
      <c r="AB533" s="30"/>
      <c r="AC533" s="16"/>
      <c r="AD533" s="41"/>
    </row>
    <row r="534" spans="27:30" ht="15.75" customHeight="1" x14ac:dyDescent="0.3">
      <c r="AA534" s="30"/>
      <c r="AB534" s="30"/>
      <c r="AC534" s="16"/>
      <c r="AD534" s="41"/>
    </row>
    <row r="535" spans="27:30" ht="15.75" customHeight="1" x14ac:dyDescent="0.3">
      <c r="AA535" s="30"/>
      <c r="AB535" s="30"/>
      <c r="AC535" s="16"/>
      <c r="AD535" s="41"/>
    </row>
    <row r="536" spans="27:30" ht="15.75" customHeight="1" x14ac:dyDescent="0.3">
      <c r="AA536" s="30"/>
      <c r="AB536" s="30"/>
      <c r="AC536" s="16"/>
      <c r="AD536" s="41"/>
    </row>
    <row r="537" spans="27:30" ht="15.75" customHeight="1" x14ac:dyDescent="0.3">
      <c r="AA537" s="30"/>
      <c r="AB537" s="30"/>
      <c r="AC537" s="16"/>
      <c r="AD537" s="41"/>
    </row>
    <row r="538" spans="27:30" ht="15.75" customHeight="1" x14ac:dyDescent="0.3">
      <c r="AA538" s="30"/>
      <c r="AB538" s="30"/>
      <c r="AC538" s="16"/>
      <c r="AD538" s="41"/>
    </row>
    <row r="539" spans="27:30" ht="15.75" customHeight="1" x14ac:dyDescent="0.3">
      <c r="AA539" s="30"/>
      <c r="AB539" s="30"/>
      <c r="AC539" s="16"/>
      <c r="AD539" s="41"/>
    </row>
    <row r="540" spans="27:30" ht="15.75" customHeight="1" x14ac:dyDescent="0.3">
      <c r="AA540" s="30"/>
      <c r="AB540" s="30"/>
      <c r="AC540" s="16"/>
      <c r="AD540" s="41"/>
    </row>
    <row r="541" spans="27:30" ht="15.75" customHeight="1" x14ac:dyDescent="0.3">
      <c r="AA541" s="30"/>
      <c r="AB541" s="30"/>
      <c r="AC541" s="16"/>
      <c r="AD541" s="41"/>
    </row>
    <row r="542" spans="27:30" ht="15.75" customHeight="1" x14ac:dyDescent="0.3">
      <c r="AA542" s="30"/>
      <c r="AB542" s="30"/>
      <c r="AC542" s="16"/>
      <c r="AD542" s="41"/>
    </row>
    <row r="543" spans="27:30" ht="15.75" customHeight="1" x14ac:dyDescent="0.3">
      <c r="AA543" s="30"/>
      <c r="AB543" s="30"/>
      <c r="AC543" s="16"/>
      <c r="AD543" s="41"/>
    </row>
    <row r="544" spans="27:30" ht="15.75" customHeight="1" x14ac:dyDescent="0.3">
      <c r="AA544" s="30"/>
      <c r="AB544" s="30"/>
      <c r="AC544" s="16"/>
      <c r="AD544" s="41"/>
    </row>
    <row r="545" spans="27:30" ht="15.75" customHeight="1" x14ac:dyDescent="0.3">
      <c r="AA545" s="30"/>
      <c r="AB545" s="30"/>
      <c r="AC545" s="16"/>
      <c r="AD545" s="41"/>
    </row>
    <row r="546" spans="27:30" ht="15.75" customHeight="1" x14ac:dyDescent="0.3">
      <c r="AA546" s="30"/>
      <c r="AB546" s="30"/>
      <c r="AC546" s="16"/>
      <c r="AD546" s="41"/>
    </row>
    <row r="547" spans="27:30" ht="15.75" customHeight="1" x14ac:dyDescent="0.3">
      <c r="AA547" s="30"/>
      <c r="AB547" s="30"/>
      <c r="AC547" s="16"/>
      <c r="AD547" s="41"/>
    </row>
    <row r="548" spans="27:30" ht="15.75" customHeight="1" x14ac:dyDescent="0.3">
      <c r="AA548" s="30"/>
      <c r="AB548" s="30"/>
      <c r="AC548" s="16"/>
      <c r="AD548" s="41"/>
    </row>
    <row r="549" spans="27:30" ht="15.75" customHeight="1" x14ac:dyDescent="0.3">
      <c r="AA549" s="30"/>
      <c r="AB549" s="30"/>
      <c r="AC549" s="16"/>
      <c r="AD549" s="41"/>
    </row>
    <row r="550" spans="27:30" ht="15.75" customHeight="1" x14ac:dyDescent="0.3">
      <c r="AA550" s="30"/>
      <c r="AB550" s="30"/>
      <c r="AC550" s="16"/>
      <c r="AD550" s="41"/>
    </row>
    <row r="551" spans="27:30" ht="15.75" customHeight="1" x14ac:dyDescent="0.3">
      <c r="AA551" s="30"/>
      <c r="AB551" s="30"/>
      <c r="AC551" s="16"/>
      <c r="AD551" s="41"/>
    </row>
    <row r="552" spans="27:30" ht="15.75" customHeight="1" x14ac:dyDescent="0.3">
      <c r="AA552" s="30"/>
      <c r="AB552" s="30"/>
      <c r="AC552" s="16"/>
      <c r="AD552" s="41"/>
    </row>
    <row r="553" spans="27:30" ht="15.75" customHeight="1" x14ac:dyDescent="0.3">
      <c r="AA553" s="30"/>
      <c r="AB553" s="30"/>
      <c r="AC553" s="16"/>
      <c r="AD553" s="41"/>
    </row>
    <row r="554" spans="27:30" ht="15.75" customHeight="1" x14ac:dyDescent="0.3">
      <c r="AA554" s="30"/>
      <c r="AB554" s="30"/>
      <c r="AC554" s="16"/>
      <c r="AD554" s="41"/>
    </row>
    <row r="555" spans="27:30" ht="15.75" customHeight="1" x14ac:dyDescent="0.3">
      <c r="AA555" s="30"/>
      <c r="AB555" s="30"/>
      <c r="AC555" s="16"/>
      <c r="AD555" s="41"/>
    </row>
    <row r="556" spans="27:30" ht="15.75" customHeight="1" x14ac:dyDescent="0.3">
      <c r="AA556" s="30"/>
      <c r="AB556" s="30"/>
      <c r="AC556" s="16"/>
      <c r="AD556" s="41"/>
    </row>
    <row r="557" spans="27:30" ht="15.75" customHeight="1" x14ac:dyDescent="0.3">
      <c r="AA557" s="30"/>
      <c r="AB557" s="30"/>
      <c r="AC557" s="16"/>
      <c r="AD557" s="41"/>
    </row>
    <row r="558" spans="27:30" ht="15.75" customHeight="1" x14ac:dyDescent="0.3">
      <c r="AA558" s="30"/>
      <c r="AB558" s="30"/>
      <c r="AC558" s="16"/>
      <c r="AD558" s="41"/>
    </row>
    <row r="559" spans="27:30" ht="15.75" customHeight="1" x14ac:dyDescent="0.3">
      <c r="AA559" s="30"/>
      <c r="AB559" s="30"/>
      <c r="AC559" s="16"/>
      <c r="AD559" s="41"/>
    </row>
    <row r="560" spans="27:30" ht="15.75" customHeight="1" x14ac:dyDescent="0.3">
      <c r="AA560" s="30"/>
      <c r="AB560" s="30"/>
      <c r="AC560" s="16"/>
      <c r="AD560" s="41"/>
    </row>
    <row r="561" spans="27:30" ht="15.75" customHeight="1" x14ac:dyDescent="0.3">
      <c r="AA561" s="30"/>
      <c r="AB561" s="30"/>
      <c r="AC561" s="16"/>
      <c r="AD561" s="41"/>
    </row>
    <row r="562" spans="27:30" ht="15.75" customHeight="1" x14ac:dyDescent="0.3">
      <c r="AA562" s="30"/>
      <c r="AB562" s="30"/>
      <c r="AC562" s="16"/>
      <c r="AD562" s="41"/>
    </row>
    <row r="563" spans="27:30" ht="15.75" customHeight="1" x14ac:dyDescent="0.3">
      <c r="AA563" s="30"/>
      <c r="AB563" s="30"/>
      <c r="AC563" s="16"/>
      <c r="AD563" s="41"/>
    </row>
    <row r="564" spans="27:30" ht="15.75" customHeight="1" x14ac:dyDescent="0.3">
      <c r="AA564" s="30"/>
      <c r="AB564" s="30"/>
      <c r="AC564" s="16"/>
      <c r="AD564" s="41"/>
    </row>
    <row r="565" spans="27:30" ht="15.75" customHeight="1" x14ac:dyDescent="0.3">
      <c r="AA565" s="30"/>
      <c r="AB565" s="30"/>
      <c r="AC565" s="16"/>
      <c r="AD565" s="41"/>
    </row>
    <row r="566" spans="27:30" ht="15.75" customHeight="1" x14ac:dyDescent="0.3">
      <c r="AA566" s="30"/>
      <c r="AB566" s="30"/>
      <c r="AC566" s="16"/>
      <c r="AD566" s="41"/>
    </row>
    <row r="567" spans="27:30" ht="15.75" customHeight="1" x14ac:dyDescent="0.3">
      <c r="AA567" s="30"/>
      <c r="AB567" s="30"/>
      <c r="AC567" s="16"/>
      <c r="AD567" s="41"/>
    </row>
    <row r="568" spans="27:30" ht="15.75" customHeight="1" x14ac:dyDescent="0.3">
      <c r="AA568" s="30"/>
      <c r="AB568" s="30"/>
      <c r="AC568" s="16"/>
      <c r="AD568" s="41"/>
    </row>
    <row r="569" spans="27:30" ht="15.75" customHeight="1" x14ac:dyDescent="0.3">
      <c r="AA569" s="30"/>
      <c r="AB569" s="30"/>
      <c r="AC569" s="16"/>
      <c r="AD569" s="41"/>
    </row>
    <row r="570" spans="27:30" ht="15.75" customHeight="1" x14ac:dyDescent="0.3">
      <c r="AA570" s="30"/>
      <c r="AB570" s="30"/>
      <c r="AC570" s="16"/>
      <c r="AD570" s="41"/>
    </row>
    <row r="571" spans="27:30" ht="15.75" customHeight="1" x14ac:dyDescent="0.3">
      <c r="AA571" s="30"/>
      <c r="AB571" s="30"/>
      <c r="AC571" s="16"/>
      <c r="AD571" s="41"/>
    </row>
    <row r="572" spans="27:30" ht="15.75" customHeight="1" x14ac:dyDescent="0.3">
      <c r="AA572" s="30"/>
      <c r="AB572" s="30"/>
      <c r="AC572" s="16"/>
      <c r="AD572" s="41"/>
    </row>
    <row r="573" spans="27:30" ht="15.75" customHeight="1" x14ac:dyDescent="0.3">
      <c r="AA573" s="30"/>
      <c r="AB573" s="30"/>
      <c r="AC573" s="16"/>
      <c r="AD573" s="41"/>
    </row>
    <row r="574" spans="27:30" ht="15.75" customHeight="1" x14ac:dyDescent="0.3">
      <c r="AA574" s="30"/>
      <c r="AB574" s="30"/>
      <c r="AC574" s="16"/>
      <c r="AD574" s="41"/>
    </row>
    <row r="575" spans="27:30" ht="15.75" customHeight="1" x14ac:dyDescent="0.3">
      <c r="AA575" s="30"/>
      <c r="AB575" s="30"/>
      <c r="AC575" s="16"/>
      <c r="AD575" s="41"/>
    </row>
    <row r="576" spans="27:30" ht="15.75" customHeight="1" x14ac:dyDescent="0.3">
      <c r="AA576" s="30"/>
      <c r="AB576" s="30"/>
      <c r="AC576" s="16"/>
      <c r="AD576" s="41"/>
    </row>
    <row r="577" spans="27:30" ht="15.75" customHeight="1" x14ac:dyDescent="0.3">
      <c r="AA577" s="30"/>
      <c r="AB577" s="30"/>
      <c r="AC577" s="16"/>
      <c r="AD577" s="41"/>
    </row>
    <row r="578" spans="27:30" ht="15.75" customHeight="1" x14ac:dyDescent="0.3">
      <c r="AA578" s="30"/>
      <c r="AB578" s="30"/>
      <c r="AC578" s="16"/>
      <c r="AD578" s="41"/>
    </row>
    <row r="579" spans="27:30" ht="15.75" customHeight="1" x14ac:dyDescent="0.3">
      <c r="AA579" s="30"/>
      <c r="AB579" s="30"/>
      <c r="AC579" s="16"/>
      <c r="AD579" s="41"/>
    </row>
    <row r="580" spans="27:30" ht="15.75" customHeight="1" x14ac:dyDescent="0.3">
      <c r="AA580" s="30"/>
      <c r="AB580" s="30"/>
      <c r="AC580" s="16"/>
      <c r="AD580" s="41"/>
    </row>
    <row r="581" spans="27:30" ht="15.75" customHeight="1" x14ac:dyDescent="0.3">
      <c r="AA581" s="30"/>
      <c r="AB581" s="30"/>
      <c r="AC581" s="16"/>
      <c r="AD581" s="41"/>
    </row>
    <row r="582" spans="27:30" ht="15.75" customHeight="1" x14ac:dyDescent="0.3">
      <c r="AA582" s="30"/>
      <c r="AB582" s="30"/>
      <c r="AC582" s="16"/>
      <c r="AD582" s="41"/>
    </row>
    <row r="583" spans="27:30" ht="15.75" customHeight="1" x14ac:dyDescent="0.3">
      <c r="AA583" s="30"/>
      <c r="AB583" s="30"/>
      <c r="AC583" s="16"/>
      <c r="AD583" s="41"/>
    </row>
    <row r="584" spans="27:30" ht="15.75" customHeight="1" x14ac:dyDescent="0.3">
      <c r="AA584" s="30"/>
      <c r="AB584" s="30"/>
      <c r="AC584" s="16"/>
      <c r="AD584" s="41"/>
    </row>
    <row r="585" spans="27:30" ht="15.75" customHeight="1" x14ac:dyDescent="0.3">
      <c r="AA585" s="30"/>
      <c r="AB585" s="30"/>
      <c r="AC585" s="16"/>
      <c r="AD585" s="41"/>
    </row>
    <row r="586" spans="27:30" ht="15.75" customHeight="1" x14ac:dyDescent="0.3">
      <c r="AA586" s="30"/>
      <c r="AB586" s="30"/>
      <c r="AC586" s="16"/>
      <c r="AD586" s="41"/>
    </row>
    <row r="587" spans="27:30" ht="15.75" customHeight="1" x14ac:dyDescent="0.3">
      <c r="AA587" s="30"/>
      <c r="AB587" s="30"/>
      <c r="AC587" s="16"/>
      <c r="AD587" s="41"/>
    </row>
    <row r="588" spans="27:30" ht="15.75" customHeight="1" x14ac:dyDescent="0.3">
      <c r="AA588" s="30"/>
      <c r="AB588" s="30"/>
      <c r="AC588" s="16"/>
      <c r="AD588" s="41"/>
    </row>
    <row r="589" spans="27:30" ht="15.75" customHeight="1" x14ac:dyDescent="0.3">
      <c r="AA589" s="30"/>
      <c r="AB589" s="30"/>
      <c r="AC589" s="16"/>
      <c r="AD589" s="41"/>
    </row>
    <row r="590" spans="27:30" ht="15.75" customHeight="1" x14ac:dyDescent="0.3">
      <c r="AA590" s="30"/>
      <c r="AB590" s="30"/>
      <c r="AC590" s="16"/>
      <c r="AD590" s="41"/>
    </row>
    <row r="591" spans="27:30" ht="15.75" customHeight="1" x14ac:dyDescent="0.3">
      <c r="AA591" s="30"/>
      <c r="AB591" s="30"/>
      <c r="AC591" s="16"/>
      <c r="AD591" s="41"/>
    </row>
    <row r="592" spans="27:30" ht="15.75" customHeight="1" x14ac:dyDescent="0.3">
      <c r="AA592" s="30"/>
      <c r="AB592" s="30"/>
      <c r="AC592" s="16"/>
      <c r="AD592" s="41"/>
    </row>
    <row r="593" spans="27:30" ht="15.75" customHeight="1" x14ac:dyDescent="0.3">
      <c r="AA593" s="30"/>
      <c r="AB593" s="30"/>
      <c r="AC593" s="16"/>
      <c r="AD593" s="41"/>
    </row>
    <row r="594" spans="27:30" ht="15.75" customHeight="1" x14ac:dyDescent="0.3">
      <c r="AA594" s="30"/>
      <c r="AB594" s="30"/>
      <c r="AC594" s="16"/>
      <c r="AD594" s="41"/>
    </row>
    <row r="595" spans="27:30" ht="15.75" customHeight="1" x14ac:dyDescent="0.3">
      <c r="AA595" s="30"/>
      <c r="AB595" s="30"/>
      <c r="AC595" s="16"/>
      <c r="AD595" s="41"/>
    </row>
    <row r="596" spans="27:30" ht="15.75" customHeight="1" x14ac:dyDescent="0.3">
      <c r="AA596" s="30"/>
      <c r="AB596" s="30"/>
      <c r="AC596" s="16"/>
      <c r="AD596" s="41"/>
    </row>
    <row r="597" spans="27:30" ht="15.75" customHeight="1" x14ac:dyDescent="0.3">
      <c r="AA597" s="30"/>
      <c r="AB597" s="30"/>
      <c r="AC597" s="16"/>
      <c r="AD597" s="41"/>
    </row>
    <row r="598" spans="27:30" ht="15.75" customHeight="1" x14ac:dyDescent="0.3">
      <c r="AA598" s="30"/>
      <c r="AB598" s="30"/>
      <c r="AC598" s="16"/>
      <c r="AD598" s="41"/>
    </row>
    <row r="599" spans="27:30" ht="15.75" customHeight="1" x14ac:dyDescent="0.3">
      <c r="AA599" s="30"/>
      <c r="AB599" s="30"/>
      <c r="AC599" s="16"/>
      <c r="AD599" s="41"/>
    </row>
    <row r="600" spans="27:30" ht="15.75" customHeight="1" x14ac:dyDescent="0.3">
      <c r="AA600" s="30"/>
      <c r="AB600" s="30"/>
      <c r="AC600" s="16"/>
      <c r="AD600" s="41"/>
    </row>
    <row r="601" spans="27:30" ht="15.75" customHeight="1" x14ac:dyDescent="0.3">
      <c r="AA601" s="30"/>
      <c r="AB601" s="30"/>
      <c r="AC601" s="16"/>
      <c r="AD601" s="41"/>
    </row>
    <row r="602" spans="27:30" ht="15.75" customHeight="1" x14ac:dyDescent="0.3">
      <c r="AA602" s="30"/>
      <c r="AB602" s="30"/>
      <c r="AC602" s="16"/>
      <c r="AD602" s="41"/>
    </row>
    <row r="603" spans="27:30" ht="15.75" customHeight="1" x14ac:dyDescent="0.3">
      <c r="AA603" s="30"/>
      <c r="AB603" s="30"/>
      <c r="AC603" s="16"/>
      <c r="AD603" s="41"/>
    </row>
    <row r="604" spans="27:30" ht="15.75" customHeight="1" x14ac:dyDescent="0.3">
      <c r="AA604" s="30"/>
      <c r="AB604" s="30"/>
      <c r="AC604" s="16"/>
      <c r="AD604" s="41"/>
    </row>
    <row r="605" spans="27:30" ht="15.75" customHeight="1" x14ac:dyDescent="0.3">
      <c r="AA605" s="30"/>
      <c r="AB605" s="30"/>
      <c r="AC605" s="16"/>
      <c r="AD605" s="41"/>
    </row>
    <row r="606" spans="27:30" ht="15.75" customHeight="1" x14ac:dyDescent="0.3">
      <c r="AA606" s="30"/>
      <c r="AB606" s="30"/>
      <c r="AC606" s="16"/>
      <c r="AD606" s="41"/>
    </row>
    <row r="607" spans="27:30" ht="15.75" customHeight="1" x14ac:dyDescent="0.3">
      <c r="AA607" s="30"/>
      <c r="AB607" s="30"/>
      <c r="AC607" s="16"/>
      <c r="AD607" s="41"/>
    </row>
    <row r="608" spans="27:30" ht="15.75" customHeight="1" x14ac:dyDescent="0.3">
      <c r="AA608" s="30"/>
      <c r="AB608" s="30"/>
      <c r="AC608" s="16"/>
      <c r="AD608" s="41"/>
    </row>
    <row r="609" spans="27:30" ht="15.75" customHeight="1" x14ac:dyDescent="0.3">
      <c r="AA609" s="30"/>
      <c r="AB609" s="30"/>
      <c r="AC609" s="16"/>
      <c r="AD609" s="41"/>
    </row>
    <row r="610" spans="27:30" ht="15.75" customHeight="1" x14ac:dyDescent="0.3">
      <c r="AA610" s="30"/>
      <c r="AB610" s="30"/>
      <c r="AC610" s="16"/>
      <c r="AD610" s="41"/>
    </row>
    <row r="611" spans="27:30" ht="15.75" customHeight="1" x14ac:dyDescent="0.3">
      <c r="AA611" s="30"/>
      <c r="AB611" s="30"/>
      <c r="AC611" s="16"/>
      <c r="AD611" s="41"/>
    </row>
    <row r="612" spans="27:30" ht="15.75" customHeight="1" x14ac:dyDescent="0.3">
      <c r="AA612" s="30"/>
      <c r="AB612" s="30"/>
      <c r="AC612" s="16"/>
      <c r="AD612" s="41"/>
    </row>
    <row r="613" spans="27:30" ht="15.75" customHeight="1" x14ac:dyDescent="0.3">
      <c r="AA613" s="30"/>
      <c r="AB613" s="30"/>
      <c r="AC613" s="16"/>
      <c r="AD613" s="41"/>
    </row>
    <row r="614" spans="27:30" ht="15.75" customHeight="1" x14ac:dyDescent="0.3">
      <c r="AA614" s="30"/>
      <c r="AB614" s="30"/>
      <c r="AC614" s="16"/>
      <c r="AD614" s="41"/>
    </row>
    <row r="615" spans="27:30" ht="15.75" customHeight="1" x14ac:dyDescent="0.3">
      <c r="AA615" s="30"/>
      <c r="AB615" s="30"/>
      <c r="AC615" s="16"/>
      <c r="AD615" s="41"/>
    </row>
    <row r="616" spans="27:30" ht="15.75" customHeight="1" x14ac:dyDescent="0.3">
      <c r="AA616" s="30"/>
      <c r="AB616" s="30"/>
      <c r="AC616" s="16"/>
      <c r="AD616" s="41"/>
    </row>
    <row r="617" spans="27:30" ht="15.75" customHeight="1" x14ac:dyDescent="0.3">
      <c r="AA617" s="30"/>
      <c r="AB617" s="30"/>
      <c r="AC617" s="16"/>
      <c r="AD617" s="41"/>
    </row>
    <row r="618" spans="27:30" ht="15.75" customHeight="1" x14ac:dyDescent="0.3">
      <c r="AA618" s="30"/>
      <c r="AB618" s="30"/>
      <c r="AC618" s="16"/>
      <c r="AD618" s="41"/>
    </row>
    <row r="619" spans="27:30" ht="15.75" customHeight="1" x14ac:dyDescent="0.3">
      <c r="AA619" s="30"/>
      <c r="AB619" s="30"/>
      <c r="AC619" s="16"/>
      <c r="AD619" s="41"/>
    </row>
    <row r="620" spans="27:30" ht="15.75" customHeight="1" x14ac:dyDescent="0.3">
      <c r="AA620" s="30"/>
      <c r="AB620" s="30"/>
      <c r="AC620" s="16"/>
      <c r="AD620" s="41"/>
    </row>
    <row r="621" spans="27:30" ht="15.75" customHeight="1" x14ac:dyDescent="0.3">
      <c r="AA621" s="30"/>
      <c r="AB621" s="30"/>
      <c r="AC621" s="16"/>
      <c r="AD621" s="41"/>
    </row>
    <row r="622" spans="27:30" ht="15.75" customHeight="1" x14ac:dyDescent="0.3">
      <c r="AA622" s="30"/>
      <c r="AB622" s="30"/>
      <c r="AC622" s="16"/>
      <c r="AD622" s="41"/>
    </row>
    <row r="623" spans="27:30" ht="15.75" customHeight="1" x14ac:dyDescent="0.3">
      <c r="AA623" s="30"/>
      <c r="AB623" s="30"/>
      <c r="AC623" s="16"/>
      <c r="AD623" s="41"/>
    </row>
    <row r="624" spans="27:30" ht="15.75" customHeight="1" x14ac:dyDescent="0.3">
      <c r="AA624" s="30"/>
      <c r="AB624" s="30"/>
      <c r="AC624" s="16"/>
      <c r="AD624" s="41"/>
    </row>
    <row r="625" spans="27:30" ht="15.75" customHeight="1" x14ac:dyDescent="0.3">
      <c r="AA625" s="30"/>
      <c r="AB625" s="30"/>
      <c r="AC625" s="16"/>
      <c r="AD625" s="41"/>
    </row>
    <row r="626" spans="27:30" ht="15.75" customHeight="1" x14ac:dyDescent="0.3">
      <c r="AA626" s="30"/>
      <c r="AB626" s="30"/>
      <c r="AC626" s="16"/>
      <c r="AD626" s="41"/>
    </row>
    <row r="627" spans="27:30" ht="15.75" customHeight="1" x14ac:dyDescent="0.3">
      <c r="AA627" s="30"/>
      <c r="AB627" s="30"/>
      <c r="AC627" s="16"/>
      <c r="AD627" s="41"/>
    </row>
    <row r="628" spans="27:30" ht="15.75" customHeight="1" x14ac:dyDescent="0.3">
      <c r="AA628" s="30"/>
      <c r="AB628" s="30"/>
      <c r="AC628" s="16"/>
      <c r="AD628" s="41"/>
    </row>
    <row r="629" spans="27:30" ht="15.75" customHeight="1" x14ac:dyDescent="0.3">
      <c r="AA629" s="30"/>
      <c r="AB629" s="30"/>
      <c r="AC629" s="16"/>
      <c r="AD629" s="41"/>
    </row>
    <row r="630" spans="27:30" ht="15.75" customHeight="1" x14ac:dyDescent="0.3">
      <c r="AA630" s="30"/>
      <c r="AB630" s="30"/>
      <c r="AC630" s="16"/>
      <c r="AD630" s="41"/>
    </row>
    <row r="631" spans="27:30" ht="15.75" customHeight="1" x14ac:dyDescent="0.3">
      <c r="AA631" s="30"/>
      <c r="AB631" s="30"/>
      <c r="AC631" s="16"/>
      <c r="AD631" s="41"/>
    </row>
    <row r="632" spans="27:30" ht="15.75" customHeight="1" x14ac:dyDescent="0.3">
      <c r="AA632" s="30"/>
      <c r="AB632" s="30"/>
      <c r="AC632" s="16"/>
      <c r="AD632" s="41"/>
    </row>
    <row r="633" spans="27:30" ht="15.75" customHeight="1" x14ac:dyDescent="0.3">
      <c r="AA633" s="30"/>
      <c r="AB633" s="30"/>
      <c r="AC633" s="16"/>
      <c r="AD633" s="41"/>
    </row>
    <row r="634" spans="27:30" ht="15.75" customHeight="1" x14ac:dyDescent="0.3">
      <c r="AA634" s="30"/>
      <c r="AB634" s="30"/>
      <c r="AC634" s="16"/>
      <c r="AD634" s="41"/>
    </row>
    <row r="635" spans="27:30" ht="15.75" customHeight="1" x14ac:dyDescent="0.3">
      <c r="AA635" s="30"/>
      <c r="AB635" s="30"/>
      <c r="AC635" s="16"/>
      <c r="AD635" s="41"/>
    </row>
    <row r="636" spans="27:30" ht="15.75" customHeight="1" x14ac:dyDescent="0.3">
      <c r="AA636" s="30"/>
      <c r="AB636" s="30"/>
      <c r="AC636" s="16"/>
      <c r="AD636" s="41"/>
    </row>
    <row r="637" spans="27:30" ht="15.75" customHeight="1" x14ac:dyDescent="0.3">
      <c r="AA637" s="30"/>
      <c r="AB637" s="30"/>
      <c r="AC637" s="16"/>
      <c r="AD637" s="41"/>
    </row>
    <row r="638" spans="27:30" ht="15.75" customHeight="1" x14ac:dyDescent="0.3">
      <c r="AA638" s="30"/>
      <c r="AB638" s="30"/>
      <c r="AC638" s="16"/>
      <c r="AD638" s="41"/>
    </row>
    <row r="639" spans="27:30" ht="15.75" customHeight="1" x14ac:dyDescent="0.3">
      <c r="AA639" s="30"/>
      <c r="AB639" s="30"/>
      <c r="AC639" s="16"/>
      <c r="AD639" s="41"/>
    </row>
    <row r="640" spans="27:30" ht="15.75" customHeight="1" x14ac:dyDescent="0.3">
      <c r="AA640" s="30"/>
      <c r="AB640" s="30"/>
      <c r="AC640" s="16"/>
      <c r="AD640" s="41"/>
    </row>
    <row r="641" spans="27:30" ht="15.75" customHeight="1" x14ac:dyDescent="0.3">
      <c r="AA641" s="30"/>
      <c r="AB641" s="30"/>
      <c r="AC641" s="16"/>
      <c r="AD641" s="41"/>
    </row>
    <row r="642" spans="27:30" ht="15.75" customHeight="1" x14ac:dyDescent="0.3">
      <c r="AA642" s="30"/>
      <c r="AB642" s="30"/>
      <c r="AC642" s="16"/>
      <c r="AD642" s="41"/>
    </row>
    <row r="643" spans="27:30" ht="15.75" customHeight="1" x14ac:dyDescent="0.3">
      <c r="AA643" s="30"/>
      <c r="AB643" s="30"/>
      <c r="AC643" s="16"/>
      <c r="AD643" s="41"/>
    </row>
    <row r="644" spans="27:30" ht="15.75" customHeight="1" x14ac:dyDescent="0.3">
      <c r="AA644" s="30"/>
      <c r="AB644" s="30"/>
      <c r="AC644" s="16"/>
      <c r="AD644" s="41"/>
    </row>
    <row r="645" spans="27:30" ht="15.75" customHeight="1" x14ac:dyDescent="0.3">
      <c r="AA645" s="30"/>
      <c r="AB645" s="30"/>
      <c r="AC645" s="16"/>
      <c r="AD645" s="41"/>
    </row>
    <row r="646" spans="27:30" ht="15.75" customHeight="1" x14ac:dyDescent="0.3">
      <c r="AA646" s="30"/>
      <c r="AB646" s="30"/>
      <c r="AC646" s="16"/>
      <c r="AD646" s="41"/>
    </row>
    <row r="647" spans="27:30" ht="15.75" customHeight="1" x14ac:dyDescent="0.3">
      <c r="AA647" s="30"/>
      <c r="AB647" s="30"/>
      <c r="AC647" s="16"/>
      <c r="AD647" s="41"/>
    </row>
    <row r="648" spans="27:30" ht="15.75" customHeight="1" x14ac:dyDescent="0.3">
      <c r="AA648" s="30"/>
      <c r="AB648" s="30"/>
      <c r="AC648" s="16"/>
      <c r="AD648" s="41"/>
    </row>
    <row r="649" spans="27:30" ht="15.75" customHeight="1" x14ac:dyDescent="0.3">
      <c r="AA649" s="30"/>
      <c r="AB649" s="30"/>
      <c r="AC649" s="16"/>
      <c r="AD649" s="41"/>
    </row>
    <row r="650" spans="27:30" ht="15.75" customHeight="1" x14ac:dyDescent="0.3">
      <c r="AA650" s="30"/>
      <c r="AB650" s="30"/>
      <c r="AC650" s="16"/>
      <c r="AD650" s="41"/>
    </row>
    <row r="651" spans="27:30" ht="15.75" customHeight="1" x14ac:dyDescent="0.3">
      <c r="AA651" s="30"/>
      <c r="AB651" s="30"/>
      <c r="AC651" s="16"/>
      <c r="AD651" s="41"/>
    </row>
    <row r="652" spans="27:30" ht="15.75" customHeight="1" x14ac:dyDescent="0.3">
      <c r="AA652" s="30"/>
      <c r="AB652" s="30"/>
      <c r="AC652" s="16"/>
      <c r="AD652" s="41"/>
    </row>
    <row r="653" spans="27:30" ht="15.75" customHeight="1" x14ac:dyDescent="0.3">
      <c r="AA653" s="30"/>
      <c r="AB653" s="30"/>
      <c r="AC653" s="16"/>
      <c r="AD653" s="41"/>
    </row>
    <row r="654" spans="27:30" ht="15.75" customHeight="1" x14ac:dyDescent="0.3">
      <c r="AA654" s="30"/>
      <c r="AB654" s="30"/>
      <c r="AC654" s="16"/>
      <c r="AD654" s="41"/>
    </row>
    <row r="655" spans="27:30" ht="15.75" customHeight="1" x14ac:dyDescent="0.3">
      <c r="AA655" s="30"/>
      <c r="AB655" s="30"/>
      <c r="AC655" s="16"/>
      <c r="AD655" s="41"/>
    </row>
    <row r="656" spans="27:30" ht="15.75" customHeight="1" x14ac:dyDescent="0.3">
      <c r="AA656" s="30"/>
      <c r="AB656" s="30"/>
      <c r="AC656" s="16"/>
      <c r="AD656" s="41"/>
    </row>
    <row r="657" spans="27:30" ht="15.75" customHeight="1" x14ac:dyDescent="0.3">
      <c r="AA657" s="30"/>
      <c r="AB657" s="30"/>
      <c r="AC657" s="16"/>
      <c r="AD657" s="41"/>
    </row>
    <row r="658" spans="27:30" ht="15.75" customHeight="1" x14ac:dyDescent="0.3">
      <c r="AA658" s="30"/>
      <c r="AB658" s="30"/>
      <c r="AC658" s="16"/>
      <c r="AD658" s="41"/>
    </row>
    <row r="659" spans="27:30" ht="15.75" customHeight="1" x14ac:dyDescent="0.3">
      <c r="AA659" s="30"/>
      <c r="AB659" s="30"/>
      <c r="AC659" s="16"/>
      <c r="AD659" s="41"/>
    </row>
    <row r="660" spans="27:30" ht="15.75" customHeight="1" x14ac:dyDescent="0.3">
      <c r="AA660" s="30"/>
      <c r="AB660" s="30"/>
      <c r="AC660" s="16"/>
      <c r="AD660" s="41"/>
    </row>
    <row r="661" spans="27:30" ht="15.75" customHeight="1" x14ac:dyDescent="0.3">
      <c r="AA661" s="30"/>
      <c r="AB661" s="30"/>
      <c r="AC661" s="16"/>
      <c r="AD661" s="41"/>
    </row>
    <row r="662" spans="27:30" ht="15.75" customHeight="1" x14ac:dyDescent="0.3">
      <c r="AA662" s="30"/>
      <c r="AB662" s="30"/>
      <c r="AC662" s="16"/>
      <c r="AD662" s="41"/>
    </row>
    <row r="663" spans="27:30" ht="15.75" customHeight="1" x14ac:dyDescent="0.3">
      <c r="AA663" s="30"/>
      <c r="AB663" s="30"/>
      <c r="AC663" s="16"/>
      <c r="AD663" s="41"/>
    </row>
    <row r="664" spans="27:30" ht="15.75" customHeight="1" x14ac:dyDescent="0.3">
      <c r="AA664" s="30"/>
      <c r="AB664" s="30"/>
      <c r="AC664" s="16"/>
      <c r="AD664" s="41"/>
    </row>
    <row r="665" spans="27:30" ht="15.75" customHeight="1" x14ac:dyDescent="0.3">
      <c r="AA665" s="30"/>
      <c r="AB665" s="30"/>
      <c r="AC665" s="16"/>
      <c r="AD665" s="41"/>
    </row>
    <row r="666" spans="27:30" ht="15.75" customHeight="1" x14ac:dyDescent="0.3">
      <c r="AA666" s="30"/>
      <c r="AB666" s="30"/>
      <c r="AC666" s="16"/>
      <c r="AD666" s="41"/>
    </row>
    <row r="667" spans="27:30" ht="15.75" customHeight="1" x14ac:dyDescent="0.3">
      <c r="AA667" s="30"/>
      <c r="AB667" s="30"/>
      <c r="AC667" s="16"/>
      <c r="AD667" s="41"/>
    </row>
    <row r="668" spans="27:30" ht="15.75" customHeight="1" x14ac:dyDescent="0.3">
      <c r="AA668" s="30"/>
      <c r="AB668" s="30"/>
      <c r="AC668" s="16"/>
      <c r="AD668" s="41"/>
    </row>
    <row r="669" spans="27:30" ht="15.75" customHeight="1" x14ac:dyDescent="0.3">
      <c r="AA669" s="30"/>
      <c r="AB669" s="30"/>
      <c r="AC669" s="16"/>
      <c r="AD669" s="41"/>
    </row>
    <row r="670" spans="27:30" ht="15.75" customHeight="1" x14ac:dyDescent="0.3">
      <c r="AA670" s="30"/>
      <c r="AB670" s="30"/>
      <c r="AC670" s="16"/>
      <c r="AD670" s="41"/>
    </row>
    <row r="671" spans="27:30" ht="15.75" customHeight="1" x14ac:dyDescent="0.3">
      <c r="AA671" s="30"/>
      <c r="AB671" s="30"/>
      <c r="AC671" s="16"/>
      <c r="AD671" s="41"/>
    </row>
    <row r="672" spans="27:30" ht="15.75" customHeight="1" x14ac:dyDescent="0.3">
      <c r="AA672" s="30"/>
      <c r="AB672" s="30"/>
      <c r="AC672" s="16"/>
      <c r="AD672" s="41"/>
    </row>
    <row r="673" spans="27:30" ht="15.75" customHeight="1" x14ac:dyDescent="0.3">
      <c r="AA673" s="30"/>
      <c r="AB673" s="30"/>
      <c r="AC673" s="16"/>
      <c r="AD673" s="41"/>
    </row>
    <row r="674" spans="27:30" ht="15.75" customHeight="1" x14ac:dyDescent="0.3">
      <c r="AA674" s="30"/>
      <c r="AB674" s="30"/>
      <c r="AC674" s="16"/>
      <c r="AD674" s="41"/>
    </row>
    <row r="675" spans="27:30" ht="15.75" customHeight="1" x14ac:dyDescent="0.3">
      <c r="AA675" s="30"/>
      <c r="AB675" s="30"/>
      <c r="AC675" s="16"/>
      <c r="AD675" s="41"/>
    </row>
    <row r="676" spans="27:30" ht="15.75" customHeight="1" x14ac:dyDescent="0.3">
      <c r="AA676" s="30"/>
      <c r="AB676" s="30"/>
      <c r="AC676" s="16"/>
      <c r="AD676" s="41"/>
    </row>
    <row r="677" spans="27:30" ht="15.75" customHeight="1" x14ac:dyDescent="0.3">
      <c r="AA677" s="30"/>
      <c r="AB677" s="30"/>
      <c r="AC677" s="16"/>
      <c r="AD677" s="41"/>
    </row>
    <row r="678" spans="27:30" ht="15.75" customHeight="1" x14ac:dyDescent="0.3">
      <c r="AA678" s="30"/>
      <c r="AB678" s="30"/>
      <c r="AC678" s="16"/>
      <c r="AD678" s="41"/>
    </row>
    <row r="679" spans="27:30" ht="15.75" customHeight="1" x14ac:dyDescent="0.3">
      <c r="AA679" s="30"/>
      <c r="AB679" s="30"/>
      <c r="AC679" s="16"/>
      <c r="AD679" s="41"/>
    </row>
    <row r="680" spans="27:30" ht="15.75" customHeight="1" x14ac:dyDescent="0.3">
      <c r="AA680" s="30"/>
      <c r="AB680" s="30"/>
      <c r="AC680" s="16"/>
      <c r="AD680" s="41"/>
    </row>
    <row r="681" spans="27:30" ht="15.75" customHeight="1" x14ac:dyDescent="0.3">
      <c r="AA681" s="30"/>
      <c r="AB681" s="30"/>
      <c r="AC681" s="16"/>
      <c r="AD681" s="41"/>
    </row>
    <row r="682" spans="27:30" ht="15.75" customHeight="1" x14ac:dyDescent="0.3">
      <c r="AA682" s="30"/>
      <c r="AB682" s="30"/>
      <c r="AC682" s="16"/>
      <c r="AD682" s="41"/>
    </row>
    <row r="683" spans="27:30" ht="15.75" customHeight="1" x14ac:dyDescent="0.3">
      <c r="AA683" s="30"/>
      <c r="AB683" s="30"/>
      <c r="AC683" s="16"/>
      <c r="AD683" s="41"/>
    </row>
    <row r="684" spans="27:30" ht="15.75" customHeight="1" x14ac:dyDescent="0.3">
      <c r="AA684" s="30"/>
      <c r="AB684" s="30"/>
      <c r="AC684" s="16"/>
      <c r="AD684" s="41"/>
    </row>
    <row r="685" spans="27:30" ht="15.75" customHeight="1" x14ac:dyDescent="0.3">
      <c r="AA685" s="30"/>
      <c r="AB685" s="30"/>
      <c r="AC685" s="16"/>
      <c r="AD685" s="41"/>
    </row>
    <row r="686" spans="27:30" ht="15.75" customHeight="1" x14ac:dyDescent="0.3">
      <c r="AA686" s="30"/>
      <c r="AB686" s="30"/>
      <c r="AC686" s="16"/>
      <c r="AD686" s="41"/>
    </row>
    <row r="687" spans="27:30" ht="15.75" customHeight="1" x14ac:dyDescent="0.3">
      <c r="AA687" s="30"/>
      <c r="AB687" s="30"/>
      <c r="AC687" s="16"/>
      <c r="AD687" s="41"/>
    </row>
    <row r="688" spans="27:30" ht="15.75" customHeight="1" x14ac:dyDescent="0.3">
      <c r="AA688" s="30"/>
      <c r="AB688" s="30"/>
      <c r="AC688" s="16"/>
      <c r="AD688" s="41"/>
    </row>
    <row r="689" spans="27:30" ht="15.75" customHeight="1" x14ac:dyDescent="0.3">
      <c r="AA689" s="30"/>
      <c r="AB689" s="30"/>
      <c r="AC689" s="16"/>
      <c r="AD689" s="41"/>
    </row>
    <row r="690" spans="27:30" ht="15.75" customHeight="1" x14ac:dyDescent="0.3">
      <c r="AA690" s="30"/>
      <c r="AB690" s="30"/>
      <c r="AC690" s="16"/>
      <c r="AD690" s="41"/>
    </row>
    <row r="691" spans="27:30" ht="15.75" customHeight="1" x14ac:dyDescent="0.3">
      <c r="AA691" s="30"/>
      <c r="AB691" s="30"/>
      <c r="AC691" s="16"/>
      <c r="AD691" s="41"/>
    </row>
    <row r="692" spans="27:30" ht="15.75" customHeight="1" x14ac:dyDescent="0.3">
      <c r="AA692" s="30"/>
      <c r="AB692" s="30"/>
      <c r="AC692" s="16"/>
      <c r="AD692" s="41"/>
    </row>
    <row r="693" spans="27:30" ht="15.75" customHeight="1" x14ac:dyDescent="0.3">
      <c r="AA693" s="30"/>
      <c r="AB693" s="30"/>
      <c r="AC693" s="16"/>
      <c r="AD693" s="41"/>
    </row>
    <row r="694" spans="27:30" ht="15.75" customHeight="1" x14ac:dyDescent="0.3">
      <c r="AA694" s="30"/>
      <c r="AB694" s="30"/>
      <c r="AC694" s="16"/>
      <c r="AD694" s="41"/>
    </row>
    <row r="695" spans="27:30" ht="15.75" customHeight="1" x14ac:dyDescent="0.3">
      <c r="AA695" s="30"/>
      <c r="AB695" s="30"/>
      <c r="AC695" s="16"/>
      <c r="AD695" s="41"/>
    </row>
    <row r="696" spans="27:30" ht="15.75" customHeight="1" x14ac:dyDescent="0.3">
      <c r="AA696" s="30"/>
      <c r="AB696" s="30"/>
      <c r="AC696" s="16"/>
      <c r="AD696" s="41"/>
    </row>
    <row r="697" spans="27:30" ht="15.75" customHeight="1" x14ac:dyDescent="0.3">
      <c r="AA697" s="30"/>
      <c r="AB697" s="30"/>
      <c r="AC697" s="16"/>
      <c r="AD697" s="41"/>
    </row>
    <row r="698" spans="27:30" ht="15.75" customHeight="1" x14ac:dyDescent="0.3">
      <c r="AA698" s="30"/>
      <c r="AB698" s="30"/>
      <c r="AC698" s="16"/>
      <c r="AD698" s="41"/>
    </row>
    <row r="699" spans="27:30" ht="15.75" customHeight="1" x14ac:dyDescent="0.3">
      <c r="AA699" s="30"/>
      <c r="AB699" s="30"/>
      <c r="AC699" s="16"/>
      <c r="AD699" s="41"/>
    </row>
    <row r="700" spans="27:30" ht="15.75" customHeight="1" x14ac:dyDescent="0.3">
      <c r="AA700" s="30"/>
      <c r="AB700" s="30"/>
      <c r="AC700" s="16"/>
      <c r="AD700" s="41"/>
    </row>
    <row r="701" spans="27:30" ht="15.75" customHeight="1" x14ac:dyDescent="0.3">
      <c r="AA701" s="30"/>
      <c r="AB701" s="30"/>
      <c r="AC701" s="16"/>
      <c r="AD701" s="41"/>
    </row>
    <row r="702" spans="27:30" ht="15.75" customHeight="1" x14ac:dyDescent="0.3">
      <c r="AA702" s="30"/>
      <c r="AB702" s="30"/>
      <c r="AC702" s="16"/>
      <c r="AD702" s="41"/>
    </row>
    <row r="703" spans="27:30" ht="15.75" customHeight="1" x14ac:dyDescent="0.3">
      <c r="AA703" s="30"/>
      <c r="AB703" s="30"/>
      <c r="AC703" s="16"/>
      <c r="AD703" s="41"/>
    </row>
    <row r="704" spans="27:30" ht="15.75" customHeight="1" x14ac:dyDescent="0.3">
      <c r="AA704" s="30"/>
      <c r="AB704" s="30"/>
      <c r="AC704" s="16"/>
      <c r="AD704" s="41"/>
    </row>
    <row r="705" spans="27:30" ht="15.75" customHeight="1" x14ac:dyDescent="0.3">
      <c r="AA705" s="30"/>
      <c r="AB705" s="30"/>
      <c r="AC705" s="16"/>
      <c r="AD705" s="41"/>
    </row>
    <row r="706" spans="27:30" ht="15.75" customHeight="1" x14ac:dyDescent="0.3">
      <c r="AA706" s="30"/>
      <c r="AB706" s="30"/>
      <c r="AC706" s="16"/>
      <c r="AD706" s="41"/>
    </row>
    <row r="707" spans="27:30" ht="15.75" customHeight="1" x14ac:dyDescent="0.3">
      <c r="AA707" s="30"/>
      <c r="AB707" s="30"/>
      <c r="AC707" s="16"/>
      <c r="AD707" s="41"/>
    </row>
    <row r="708" spans="27:30" ht="15.75" customHeight="1" x14ac:dyDescent="0.3">
      <c r="AA708" s="30"/>
      <c r="AB708" s="30"/>
      <c r="AC708" s="16"/>
      <c r="AD708" s="41"/>
    </row>
    <row r="709" spans="27:30" ht="15.75" customHeight="1" x14ac:dyDescent="0.3">
      <c r="AA709" s="30"/>
      <c r="AB709" s="30"/>
      <c r="AC709" s="16"/>
      <c r="AD709" s="41"/>
    </row>
    <row r="710" spans="27:30" ht="15.75" customHeight="1" x14ac:dyDescent="0.3">
      <c r="AA710" s="30"/>
      <c r="AB710" s="30"/>
      <c r="AC710" s="16"/>
      <c r="AD710" s="41"/>
    </row>
    <row r="711" spans="27:30" ht="15.75" customHeight="1" x14ac:dyDescent="0.3">
      <c r="AA711" s="30"/>
      <c r="AB711" s="30"/>
      <c r="AC711" s="16"/>
      <c r="AD711" s="41"/>
    </row>
    <row r="712" spans="27:30" ht="15.75" customHeight="1" x14ac:dyDescent="0.3">
      <c r="AA712" s="30"/>
      <c r="AB712" s="30"/>
      <c r="AC712" s="16"/>
      <c r="AD712" s="41"/>
    </row>
    <row r="713" spans="27:30" ht="15.75" customHeight="1" x14ac:dyDescent="0.3">
      <c r="AA713" s="30"/>
      <c r="AB713" s="30"/>
      <c r="AC713" s="16"/>
      <c r="AD713" s="41"/>
    </row>
    <row r="714" spans="27:30" ht="15.75" customHeight="1" x14ac:dyDescent="0.3">
      <c r="AA714" s="30"/>
      <c r="AB714" s="30"/>
      <c r="AC714" s="16"/>
      <c r="AD714" s="41"/>
    </row>
    <row r="715" spans="27:30" ht="15.75" customHeight="1" x14ac:dyDescent="0.3">
      <c r="AA715" s="30"/>
      <c r="AB715" s="30"/>
      <c r="AC715" s="16"/>
      <c r="AD715" s="41"/>
    </row>
    <row r="716" spans="27:30" ht="15.75" customHeight="1" x14ac:dyDescent="0.3">
      <c r="AA716" s="30"/>
      <c r="AB716" s="30"/>
      <c r="AC716" s="16"/>
      <c r="AD716" s="41"/>
    </row>
    <row r="717" spans="27:30" ht="15.75" customHeight="1" x14ac:dyDescent="0.3">
      <c r="AA717" s="30"/>
      <c r="AB717" s="30"/>
      <c r="AC717" s="16"/>
      <c r="AD717" s="41"/>
    </row>
    <row r="718" spans="27:30" ht="15.75" customHeight="1" x14ac:dyDescent="0.3">
      <c r="AA718" s="30"/>
      <c r="AB718" s="30"/>
      <c r="AC718" s="16"/>
      <c r="AD718" s="41"/>
    </row>
    <row r="719" spans="27:30" ht="15.75" customHeight="1" x14ac:dyDescent="0.3">
      <c r="AA719" s="30"/>
      <c r="AB719" s="30"/>
      <c r="AC719" s="16"/>
      <c r="AD719" s="41"/>
    </row>
    <row r="720" spans="27:30" ht="15.75" customHeight="1" x14ac:dyDescent="0.3">
      <c r="AA720" s="30"/>
      <c r="AB720" s="30"/>
      <c r="AC720" s="16"/>
      <c r="AD720" s="41"/>
    </row>
    <row r="721" spans="27:30" ht="15.75" customHeight="1" x14ac:dyDescent="0.3">
      <c r="AA721" s="30"/>
      <c r="AB721" s="30"/>
      <c r="AC721" s="16"/>
      <c r="AD721" s="41"/>
    </row>
    <row r="722" spans="27:30" ht="15.75" customHeight="1" x14ac:dyDescent="0.3">
      <c r="AA722" s="30"/>
      <c r="AB722" s="30"/>
      <c r="AC722" s="16"/>
      <c r="AD722" s="41"/>
    </row>
    <row r="723" spans="27:30" ht="15.75" customHeight="1" x14ac:dyDescent="0.3">
      <c r="AA723" s="30"/>
      <c r="AB723" s="30"/>
      <c r="AC723" s="16"/>
      <c r="AD723" s="41"/>
    </row>
    <row r="724" spans="27:30" ht="15.75" customHeight="1" x14ac:dyDescent="0.3">
      <c r="AA724" s="30"/>
      <c r="AB724" s="30"/>
      <c r="AC724" s="16"/>
      <c r="AD724" s="41"/>
    </row>
    <row r="725" spans="27:30" ht="15.75" customHeight="1" x14ac:dyDescent="0.3">
      <c r="AA725" s="30"/>
      <c r="AB725" s="30"/>
      <c r="AC725" s="16"/>
      <c r="AD725" s="41"/>
    </row>
    <row r="726" spans="27:30" ht="15.75" customHeight="1" x14ac:dyDescent="0.3">
      <c r="AA726" s="30"/>
      <c r="AB726" s="30"/>
      <c r="AC726" s="16"/>
      <c r="AD726" s="41"/>
    </row>
    <row r="727" spans="27:30" ht="15.75" customHeight="1" x14ac:dyDescent="0.3">
      <c r="AA727" s="30"/>
      <c r="AB727" s="30"/>
      <c r="AC727" s="16"/>
      <c r="AD727" s="41"/>
    </row>
    <row r="728" spans="27:30" ht="15.75" customHeight="1" x14ac:dyDescent="0.3">
      <c r="AA728" s="30"/>
      <c r="AB728" s="30"/>
      <c r="AC728" s="16"/>
      <c r="AD728" s="41"/>
    </row>
    <row r="729" spans="27:30" ht="15.75" customHeight="1" x14ac:dyDescent="0.3">
      <c r="AA729" s="30"/>
      <c r="AB729" s="30"/>
      <c r="AC729" s="16"/>
      <c r="AD729" s="41"/>
    </row>
    <row r="730" spans="27:30" ht="15.75" customHeight="1" x14ac:dyDescent="0.3">
      <c r="AA730" s="30"/>
      <c r="AB730" s="30"/>
      <c r="AC730" s="16"/>
      <c r="AD730" s="41"/>
    </row>
    <row r="731" spans="27:30" ht="15.75" customHeight="1" x14ac:dyDescent="0.3">
      <c r="AA731" s="30"/>
      <c r="AB731" s="30"/>
      <c r="AC731" s="16"/>
      <c r="AD731" s="41"/>
    </row>
    <row r="732" spans="27:30" ht="15.75" customHeight="1" x14ac:dyDescent="0.3">
      <c r="AA732" s="30"/>
      <c r="AB732" s="30"/>
      <c r="AC732" s="16"/>
      <c r="AD732" s="41"/>
    </row>
    <row r="733" spans="27:30" ht="15.75" customHeight="1" x14ac:dyDescent="0.3">
      <c r="AA733" s="30"/>
      <c r="AB733" s="30"/>
      <c r="AC733" s="16"/>
      <c r="AD733" s="41"/>
    </row>
    <row r="734" spans="27:30" ht="15.75" customHeight="1" x14ac:dyDescent="0.3">
      <c r="AA734" s="30"/>
      <c r="AB734" s="30"/>
      <c r="AC734" s="16"/>
      <c r="AD734" s="41"/>
    </row>
    <row r="735" spans="27:30" ht="15.75" customHeight="1" x14ac:dyDescent="0.3">
      <c r="AA735" s="30"/>
      <c r="AB735" s="30"/>
      <c r="AC735" s="16"/>
      <c r="AD735" s="41"/>
    </row>
    <row r="736" spans="27:30" ht="15.75" customHeight="1" x14ac:dyDescent="0.3">
      <c r="AA736" s="30"/>
      <c r="AB736" s="30"/>
      <c r="AC736" s="16"/>
      <c r="AD736" s="41"/>
    </row>
    <row r="737" spans="27:30" ht="15.75" customHeight="1" x14ac:dyDescent="0.3">
      <c r="AA737" s="30"/>
      <c r="AB737" s="30"/>
      <c r="AC737" s="16"/>
      <c r="AD737" s="41"/>
    </row>
    <row r="738" spans="27:30" ht="15.75" customHeight="1" x14ac:dyDescent="0.3">
      <c r="AA738" s="30"/>
      <c r="AB738" s="30"/>
      <c r="AC738" s="16"/>
      <c r="AD738" s="41"/>
    </row>
    <row r="739" spans="27:30" ht="15.75" customHeight="1" x14ac:dyDescent="0.3">
      <c r="AA739" s="30"/>
      <c r="AB739" s="30"/>
      <c r="AC739" s="16"/>
      <c r="AD739" s="41"/>
    </row>
    <row r="740" spans="27:30" ht="15.75" customHeight="1" x14ac:dyDescent="0.3">
      <c r="AA740" s="30"/>
      <c r="AB740" s="30"/>
      <c r="AC740" s="16"/>
      <c r="AD740" s="41"/>
    </row>
    <row r="741" spans="27:30" ht="15.75" customHeight="1" x14ac:dyDescent="0.3">
      <c r="AA741" s="30"/>
      <c r="AB741" s="30"/>
      <c r="AC741" s="16"/>
      <c r="AD741" s="41"/>
    </row>
    <row r="742" spans="27:30" ht="15.75" customHeight="1" x14ac:dyDescent="0.3">
      <c r="AA742" s="30"/>
      <c r="AB742" s="30"/>
      <c r="AC742" s="16"/>
      <c r="AD742" s="41"/>
    </row>
    <row r="743" spans="27:30" ht="15.75" customHeight="1" x14ac:dyDescent="0.3">
      <c r="AA743" s="30"/>
      <c r="AB743" s="30"/>
      <c r="AC743" s="16"/>
      <c r="AD743" s="41"/>
    </row>
    <row r="744" spans="27:30" ht="15.75" customHeight="1" x14ac:dyDescent="0.3">
      <c r="AA744" s="30"/>
      <c r="AB744" s="30"/>
      <c r="AC744" s="16"/>
      <c r="AD744" s="41"/>
    </row>
    <row r="745" spans="27:30" ht="15.75" customHeight="1" x14ac:dyDescent="0.3">
      <c r="AA745" s="30"/>
      <c r="AB745" s="30"/>
      <c r="AC745" s="16"/>
      <c r="AD745" s="41"/>
    </row>
    <row r="746" spans="27:30" ht="15.75" customHeight="1" x14ac:dyDescent="0.3">
      <c r="AA746" s="30"/>
      <c r="AB746" s="30"/>
      <c r="AC746" s="16"/>
      <c r="AD746" s="41"/>
    </row>
    <row r="747" spans="27:30" ht="15.75" customHeight="1" x14ac:dyDescent="0.3">
      <c r="AA747" s="30"/>
      <c r="AB747" s="30"/>
      <c r="AC747" s="16"/>
      <c r="AD747" s="41"/>
    </row>
    <row r="748" spans="27:30" ht="15.75" customHeight="1" x14ac:dyDescent="0.3">
      <c r="AA748" s="30"/>
      <c r="AB748" s="30"/>
      <c r="AC748" s="16"/>
      <c r="AD748" s="41"/>
    </row>
    <row r="749" spans="27:30" ht="15.75" customHeight="1" x14ac:dyDescent="0.3">
      <c r="AA749" s="30"/>
      <c r="AB749" s="30"/>
      <c r="AC749" s="16"/>
      <c r="AD749" s="41"/>
    </row>
    <row r="750" spans="27:30" ht="15.75" customHeight="1" x14ac:dyDescent="0.3">
      <c r="AA750" s="30"/>
      <c r="AB750" s="30"/>
      <c r="AC750" s="16"/>
      <c r="AD750" s="41"/>
    </row>
    <row r="751" spans="27:30" ht="15.75" customHeight="1" x14ac:dyDescent="0.3">
      <c r="AA751" s="30"/>
      <c r="AB751" s="30"/>
      <c r="AC751" s="16"/>
      <c r="AD751" s="41"/>
    </row>
    <row r="752" spans="27:30" ht="15.75" customHeight="1" x14ac:dyDescent="0.3">
      <c r="AA752" s="30"/>
      <c r="AB752" s="30"/>
      <c r="AC752" s="16"/>
      <c r="AD752" s="41"/>
    </row>
    <row r="753" spans="27:30" ht="15.75" customHeight="1" x14ac:dyDescent="0.3">
      <c r="AA753" s="30"/>
      <c r="AB753" s="30"/>
      <c r="AC753" s="16"/>
      <c r="AD753" s="41"/>
    </row>
    <row r="754" spans="27:30" ht="15.75" customHeight="1" x14ac:dyDescent="0.3">
      <c r="AA754" s="30"/>
      <c r="AB754" s="30"/>
      <c r="AC754" s="16"/>
      <c r="AD754" s="41"/>
    </row>
    <row r="755" spans="27:30" ht="15.75" customHeight="1" x14ac:dyDescent="0.3">
      <c r="AA755" s="30"/>
      <c r="AB755" s="30"/>
      <c r="AC755" s="16"/>
      <c r="AD755" s="41"/>
    </row>
    <row r="756" spans="27:30" ht="15.75" customHeight="1" x14ac:dyDescent="0.3">
      <c r="AA756" s="30"/>
      <c r="AB756" s="30"/>
      <c r="AC756" s="16"/>
      <c r="AD756" s="41"/>
    </row>
    <row r="757" spans="27:30" ht="15.75" customHeight="1" x14ac:dyDescent="0.3">
      <c r="AA757" s="30"/>
      <c r="AB757" s="30"/>
      <c r="AC757" s="16"/>
      <c r="AD757" s="41"/>
    </row>
    <row r="758" spans="27:30" ht="15.75" customHeight="1" x14ac:dyDescent="0.3">
      <c r="AA758" s="30"/>
      <c r="AB758" s="30"/>
      <c r="AC758" s="16"/>
      <c r="AD758" s="41"/>
    </row>
    <row r="759" spans="27:30" ht="15.75" customHeight="1" x14ac:dyDescent="0.3">
      <c r="AA759" s="30"/>
      <c r="AB759" s="30"/>
      <c r="AC759" s="16"/>
      <c r="AD759" s="41"/>
    </row>
    <row r="760" spans="27:30" ht="15.75" customHeight="1" x14ac:dyDescent="0.3">
      <c r="AA760" s="30"/>
      <c r="AB760" s="30"/>
      <c r="AC760" s="16"/>
      <c r="AD760" s="41"/>
    </row>
    <row r="761" spans="27:30" ht="15.75" customHeight="1" x14ac:dyDescent="0.3">
      <c r="AA761" s="30"/>
      <c r="AB761" s="30"/>
      <c r="AC761" s="16"/>
      <c r="AD761" s="41"/>
    </row>
    <row r="762" spans="27:30" ht="15.75" customHeight="1" x14ac:dyDescent="0.3">
      <c r="AA762" s="30"/>
      <c r="AB762" s="30"/>
      <c r="AC762" s="16"/>
      <c r="AD762" s="41"/>
    </row>
    <row r="763" spans="27:30" ht="15.75" customHeight="1" x14ac:dyDescent="0.3">
      <c r="AA763" s="30"/>
      <c r="AB763" s="30"/>
      <c r="AC763" s="16"/>
      <c r="AD763" s="41"/>
    </row>
    <row r="764" spans="27:30" ht="15.75" customHeight="1" x14ac:dyDescent="0.3">
      <c r="AA764" s="30"/>
      <c r="AB764" s="30"/>
      <c r="AC764" s="16"/>
      <c r="AD764" s="41"/>
    </row>
    <row r="765" spans="27:30" ht="15.75" customHeight="1" x14ac:dyDescent="0.3">
      <c r="AA765" s="30"/>
      <c r="AB765" s="30"/>
      <c r="AC765" s="16"/>
      <c r="AD765" s="41"/>
    </row>
    <row r="766" spans="27:30" ht="15.75" customHeight="1" x14ac:dyDescent="0.3">
      <c r="AA766" s="30"/>
      <c r="AB766" s="30"/>
      <c r="AC766" s="16"/>
      <c r="AD766" s="41"/>
    </row>
    <row r="767" spans="27:30" ht="15.75" customHeight="1" x14ac:dyDescent="0.3">
      <c r="AA767" s="30"/>
      <c r="AB767" s="30"/>
      <c r="AC767" s="16"/>
      <c r="AD767" s="41"/>
    </row>
    <row r="768" spans="27:30" ht="15.75" customHeight="1" x14ac:dyDescent="0.3">
      <c r="AA768" s="30"/>
      <c r="AB768" s="30"/>
      <c r="AC768" s="16"/>
      <c r="AD768" s="41"/>
    </row>
    <row r="769" spans="27:30" ht="15.75" customHeight="1" x14ac:dyDescent="0.3">
      <c r="AA769" s="30"/>
      <c r="AB769" s="30"/>
      <c r="AC769" s="16"/>
      <c r="AD769" s="41"/>
    </row>
    <row r="770" spans="27:30" ht="15.75" customHeight="1" x14ac:dyDescent="0.3">
      <c r="AA770" s="30"/>
      <c r="AB770" s="30"/>
      <c r="AC770" s="16"/>
      <c r="AD770" s="41"/>
    </row>
    <row r="771" spans="27:30" ht="15.75" customHeight="1" x14ac:dyDescent="0.3">
      <c r="AA771" s="30"/>
      <c r="AB771" s="30"/>
      <c r="AC771" s="16"/>
      <c r="AD771" s="41"/>
    </row>
    <row r="772" spans="27:30" ht="15.75" customHeight="1" x14ac:dyDescent="0.3">
      <c r="AA772" s="30"/>
      <c r="AB772" s="30"/>
      <c r="AC772" s="16"/>
      <c r="AD772" s="41"/>
    </row>
    <row r="773" spans="27:30" ht="15.75" customHeight="1" x14ac:dyDescent="0.3">
      <c r="AA773" s="30"/>
      <c r="AB773" s="30"/>
      <c r="AC773" s="16"/>
      <c r="AD773" s="41"/>
    </row>
    <row r="774" spans="27:30" ht="15.75" customHeight="1" x14ac:dyDescent="0.3">
      <c r="AA774" s="30"/>
      <c r="AB774" s="30"/>
      <c r="AC774" s="16"/>
      <c r="AD774" s="41"/>
    </row>
    <row r="775" spans="27:30" ht="15.75" customHeight="1" x14ac:dyDescent="0.3">
      <c r="AA775" s="30"/>
      <c r="AB775" s="30"/>
      <c r="AC775" s="16"/>
      <c r="AD775" s="41"/>
    </row>
    <row r="776" spans="27:30" ht="15.75" customHeight="1" x14ac:dyDescent="0.3">
      <c r="AA776" s="30"/>
      <c r="AB776" s="30"/>
      <c r="AC776" s="16"/>
      <c r="AD776" s="41"/>
    </row>
    <row r="777" spans="27:30" ht="15.75" customHeight="1" x14ac:dyDescent="0.3">
      <c r="AA777" s="30"/>
      <c r="AB777" s="30"/>
      <c r="AC777" s="16"/>
      <c r="AD777" s="41"/>
    </row>
    <row r="778" spans="27:30" ht="15.75" customHeight="1" x14ac:dyDescent="0.3">
      <c r="AA778" s="30"/>
      <c r="AB778" s="30"/>
      <c r="AC778" s="16"/>
      <c r="AD778" s="41"/>
    </row>
    <row r="779" spans="27:30" ht="15.75" customHeight="1" x14ac:dyDescent="0.3">
      <c r="AA779" s="30"/>
      <c r="AB779" s="30"/>
      <c r="AC779" s="16"/>
      <c r="AD779" s="41"/>
    </row>
    <row r="780" spans="27:30" ht="15.75" customHeight="1" x14ac:dyDescent="0.3">
      <c r="AA780" s="30"/>
      <c r="AB780" s="30"/>
      <c r="AC780" s="16"/>
      <c r="AD780" s="41"/>
    </row>
    <row r="781" spans="27:30" ht="15.75" customHeight="1" x14ac:dyDescent="0.3">
      <c r="AA781" s="30"/>
      <c r="AB781" s="30"/>
      <c r="AC781" s="16"/>
      <c r="AD781" s="41"/>
    </row>
    <row r="782" spans="27:30" ht="15.75" customHeight="1" x14ac:dyDescent="0.3">
      <c r="AA782" s="30"/>
      <c r="AB782" s="30"/>
      <c r="AC782" s="16"/>
      <c r="AD782" s="41"/>
    </row>
    <row r="783" spans="27:30" ht="15.75" customHeight="1" x14ac:dyDescent="0.3">
      <c r="AA783" s="30"/>
      <c r="AB783" s="30"/>
      <c r="AC783" s="16"/>
      <c r="AD783" s="41"/>
    </row>
    <row r="784" spans="27:30" ht="15.75" customHeight="1" x14ac:dyDescent="0.3">
      <c r="AA784" s="30"/>
      <c r="AB784" s="30"/>
      <c r="AC784" s="16"/>
      <c r="AD784" s="41"/>
    </row>
    <row r="785" spans="27:30" ht="15.75" customHeight="1" x14ac:dyDescent="0.3">
      <c r="AA785" s="30"/>
      <c r="AB785" s="30"/>
      <c r="AC785" s="16"/>
      <c r="AD785" s="41"/>
    </row>
    <row r="786" spans="27:30" ht="15.75" customHeight="1" x14ac:dyDescent="0.3">
      <c r="AA786" s="30"/>
      <c r="AB786" s="30"/>
      <c r="AC786" s="16"/>
      <c r="AD786" s="41"/>
    </row>
    <row r="787" spans="27:30" ht="15.75" customHeight="1" x14ac:dyDescent="0.3">
      <c r="AA787" s="30"/>
      <c r="AB787" s="30"/>
      <c r="AC787" s="16"/>
      <c r="AD787" s="41"/>
    </row>
    <row r="788" spans="27:30" ht="15.75" customHeight="1" x14ac:dyDescent="0.3">
      <c r="AA788" s="30"/>
      <c r="AB788" s="30"/>
      <c r="AC788" s="16"/>
      <c r="AD788" s="41"/>
    </row>
    <row r="789" spans="27:30" ht="15.75" customHeight="1" x14ac:dyDescent="0.3">
      <c r="AA789" s="30"/>
      <c r="AB789" s="30"/>
      <c r="AC789" s="16"/>
      <c r="AD789" s="41"/>
    </row>
    <row r="790" spans="27:30" ht="15.75" customHeight="1" x14ac:dyDescent="0.3">
      <c r="AA790" s="30"/>
      <c r="AB790" s="30"/>
      <c r="AC790" s="16"/>
      <c r="AD790" s="41"/>
    </row>
    <row r="791" spans="27:30" ht="15.75" customHeight="1" x14ac:dyDescent="0.3">
      <c r="AA791" s="30"/>
      <c r="AB791" s="30"/>
      <c r="AC791" s="16"/>
      <c r="AD791" s="41"/>
    </row>
    <row r="792" spans="27:30" ht="15.75" customHeight="1" x14ac:dyDescent="0.3">
      <c r="AA792" s="30"/>
      <c r="AB792" s="30"/>
      <c r="AC792" s="16"/>
      <c r="AD792" s="41"/>
    </row>
    <row r="793" spans="27:30" ht="15.75" customHeight="1" x14ac:dyDescent="0.3">
      <c r="AA793" s="30"/>
      <c r="AB793" s="30"/>
      <c r="AC793" s="16"/>
      <c r="AD793" s="41"/>
    </row>
    <row r="794" spans="27:30" ht="15.75" customHeight="1" x14ac:dyDescent="0.3">
      <c r="AA794" s="30"/>
      <c r="AB794" s="30"/>
      <c r="AC794" s="16"/>
      <c r="AD794" s="41"/>
    </row>
    <row r="795" spans="27:30" ht="15.75" customHeight="1" x14ac:dyDescent="0.3">
      <c r="AA795" s="30"/>
      <c r="AB795" s="30"/>
      <c r="AC795" s="16"/>
      <c r="AD795" s="41"/>
    </row>
    <row r="796" spans="27:30" ht="15.75" customHeight="1" x14ac:dyDescent="0.3">
      <c r="AA796" s="30"/>
      <c r="AB796" s="30"/>
      <c r="AC796" s="16"/>
      <c r="AD796" s="41"/>
    </row>
    <row r="797" spans="27:30" ht="15.75" customHeight="1" x14ac:dyDescent="0.3">
      <c r="AA797" s="30"/>
      <c r="AB797" s="30"/>
      <c r="AC797" s="16"/>
      <c r="AD797" s="41"/>
    </row>
    <row r="798" spans="27:30" ht="15.75" customHeight="1" x14ac:dyDescent="0.3">
      <c r="AA798" s="30"/>
      <c r="AB798" s="30"/>
      <c r="AC798" s="16"/>
      <c r="AD798" s="41"/>
    </row>
    <row r="799" spans="27:30" ht="15.75" customHeight="1" x14ac:dyDescent="0.3">
      <c r="AA799" s="30"/>
      <c r="AB799" s="30"/>
      <c r="AC799" s="16"/>
      <c r="AD799" s="41"/>
    </row>
    <row r="800" spans="27:30" ht="15.75" customHeight="1" x14ac:dyDescent="0.3">
      <c r="AA800" s="30"/>
      <c r="AB800" s="30"/>
      <c r="AC800" s="16"/>
      <c r="AD800" s="41"/>
    </row>
    <row r="801" spans="27:30" ht="15.75" customHeight="1" x14ac:dyDescent="0.3">
      <c r="AA801" s="30"/>
      <c r="AB801" s="30"/>
      <c r="AC801" s="16"/>
      <c r="AD801" s="41"/>
    </row>
    <row r="802" spans="27:30" ht="15.75" customHeight="1" x14ac:dyDescent="0.3">
      <c r="AA802" s="30"/>
      <c r="AB802" s="30"/>
      <c r="AC802" s="16"/>
      <c r="AD802" s="41"/>
    </row>
    <row r="803" spans="27:30" ht="15.75" customHeight="1" x14ac:dyDescent="0.3">
      <c r="AA803" s="30"/>
      <c r="AB803" s="30"/>
      <c r="AC803" s="16"/>
      <c r="AD803" s="41"/>
    </row>
    <row r="804" spans="27:30" ht="15.75" customHeight="1" x14ac:dyDescent="0.3">
      <c r="AA804" s="30"/>
      <c r="AB804" s="30"/>
      <c r="AC804" s="16"/>
      <c r="AD804" s="41"/>
    </row>
    <row r="805" spans="27:30" ht="15.75" customHeight="1" x14ac:dyDescent="0.3">
      <c r="AA805" s="30"/>
      <c r="AB805" s="30"/>
      <c r="AC805" s="16"/>
      <c r="AD805" s="41"/>
    </row>
    <row r="806" spans="27:30" ht="15.75" customHeight="1" x14ac:dyDescent="0.3">
      <c r="AA806" s="30"/>
      <c r="AB806" s="30"/>
      <c r="AC806" s="16"/>
      <c r="AD806" s="41"/>
    </row>
    <row r="807" spans="27:30" ht="15.75" customHeight="1" x14ac:dyDescent="0.3">
      <c r="AA807" s="30"/>
      <c r="AB807" s="30"/>
      <c r="AC807" s="16"/>
      <c r="AD807" s="41"/>
    </row>
    <row r="808" spans="27:30" ht="15.75" customHeight="1" x14ac:dyDescent="0.3">
      <c r="AA808" s="30"/>
      <c r="AB808" s="30"/>
      <c r="AC808" s="16"/>
      <c r="AD808" s="41"/>
    </row>
    <row r="809" spans="27:30" ht="15.75" customHeight="1" x14ac:dyDescent="0.3">
      <c r="AA809" s="30"/>
      <c r="AB809" s="30"/>
      <c r="AC809" s="16"/>
      <c r="AD809" s="41"/>
    </row>
    <row r="810" spans="27:30" ht="15.75" customHeight="1" x14ac:dyDescent="0.3">
      <c r="AA810" s="30"/>
      <c r="AB810" s="30"/>
      <c r="AC810" s="16"/>
      <c r="AD810" s="41"/>
    </row>
    <row r="811" spans="27:30" ht="15.75" customHeight="1" x14ac:dyDescent="0.3">
      <c r="AA811" s="30"/>
      <c r="AB811" s="30"/>
      <c r="AC811" s="16"/>
      <c r="AD811" s="41"/>
    </row>
    <row r="812" spans="27:30" ht="15.75" customHeight="1" x14ac:dyDescent="0.3">
      <c r="AA812" s="30"/>
      <c r="AB812" s="30"/>
      <c r="AC812" s="16"/>
      <c r="AD812" s="41"/>
    </row>
    <row r="813" spans="27:30" ht="15.75" customHeight="1" x14ac:dyDescent="0.3">
      <c r="AA813" s="30"/>
      <c r="AB813" s="30"/>
      <c r="AC813" s="16"/>
      <c r="AD813" s="41"/>
    </row>
    <row r="814" spans="27:30" ht="15.75" customHeight="1" x14ac:dyDescent="0.3">
      <c r="AA814" s="30"/>
      <c r="AB814" s="30"/>
      <c r="AC814" s="16"/>
      <c r="AD814" s="41"/>
    </row>
    <row r="815" spans="27:30" ht="15.75" customHeight="1" x14ac:dyDescent="0.3">
      <c r="AA815" s="30"/>
      <c r="AB815" s="30"/>
      <c r="AC815" s="16"/>
      <c r="AD815" s="41"/>
    </row>
    <row r="816" spans="27:30" ht="15.75" customHeight="1" x14ac:dyDescent="0.3">
      <c r="AA816" s="30"/>
      <c r="AB816" s="30"/>
      <c r="AC816" s="16"/>
      <c r="AD816" s="41"/>
    </row>
    <row r="817" spans="27:30" ht="15.75" customHeight="1" x14ac:dyDescent="0.3">
      <c r="AA817" s="30"/>
      <c r="AB817" s="30"/>
      <c r="AC817" s="16"/>
      <c r="AD817" s="41"/>
    </row>
    <row r="818" spans="27:30" ht="15.75" customHeight="1" x14ac:dyDescent="0.3">
      <c r="AA818" s="30"/>
      <c r="AB818" s="30"/>
      <c r="AC818" s="16"/>
      <c r="AD818" s="41"/>
    </row>
    <row r="819" spans="27:30" ht="15.75" customHeight="1" x14ac:dyDescent="0.3">
      <c r="AA819" s="30"/>
      <c r="AB819" s="30"/>
      <c r="AC819" s="16"/>
      <c r="AD819" s="41"/>
    </row>
    <row r="820" spans="27:30" ht="15.75" customHeight="1" x14ac:dyDescent="0.3">
      <c r="AA820" s="30"/>
      <c r="AB820" s="30"/>
      <c r="AC820" s="16"/>
      <c r="AD820" s="41"/>
    </row>
    <row r="821" spans="27:30" ht="15.75" customHeight="1" x14ac:dyDescent="0.3">
      <c r="AA821" s="30"/>
      <c r="AB821" s="30"/>
      <c r="AC821" s="16"/>
      <c r="AD821" s="41"/>
    </row>
    <row r="822" spans="27:30" ht="15.75" customHeight="1" x14ac:dyDescent="0.3">
      <c r="AA822" s="30"/>
      <c r="AB822" s="30"/>
      <c r="AC822" s="16"/>
      <c r="AD822" s="41"/>
    </row>
    <row r="823" spans="27:30" ht="15.75" customHeight="1" x14ac:dyDescent="0.3">
      <c r="AA823" s="30"/>
      <c r="AB823" s="30"/>
      <c r="AC823" s="16"/>
      <c r="AD823" s="41"/>
    </row>
    <row r="824" spans="27:30" ht="15.75" customHeight="1" x14ac:dyDescent="0.3">
      <c r="AA824" s="30"/>
      <c r="AB824" s="30"/>
      <c r="AC824" s="16"/>
      <c r="AD824" s="41"/>
    </row>
    <row r="825" spans="27:30" ht="15.75" customHeight="1" x14ac:dyDescent="0.3">
      <c r="AA825" s="30"/>
      <c r="AB825" s="30"/>
      <c r="AC825" s="16"/>
      <c r="AD825" s="41"/>
    </row>
    <row r="826" spans="27:30" ht="15.75" customHeight="1" x14ac:dyDescent="0.3">
      <c r="AA826" s="30"/>
      <c r="AB826" s="30"/>
      <c r="AC826" s="16"/>
      <c r="AD826" s="41"/>
    </row>
    <row r="827" spans="27:30" ht="15.75" customHeight="1" x14ac:dyDescent="0.3">
      <c r="AA827" s="30"/>
      <c r="AB827" s="30"/>
      <c r="AC827" s="16"/>
      <c r="AD827" s="41"/>
    </row>
    <row r="828" spans="27:30" ht="15.75" customHeight="1" x14ac:dyDescent="0.3">
      <c r="AA828" s="30"/>
      <c r="AB828" s="30"/>
      <c r="AC828" s="16"/>
      <c r="AD828" s="41"/>
    </row>
    <row r="829" spans="27:30" ht="15.75" customHeight="1" x14ac:dyDescent="0.3">
      <c r="AA829" s="30"/>
      <c r="AB829" s="30"/>
      <c r="AC829" s="16"/>
      <c r="AD829" s="41"/>
    </row>
    <row r="830" spans="27:30" ht="15.75" customHeight="1" x14ac:dyDescent="0.3">
      <c r="AA830" s="30"/>
      <c r="AB830" s="30"/>
      <c r="AC830" s="16"/>
      <c r="AD830" s="41"/>
    </row>
    <row r="831" spans="27:30" ht="15.75" customHeight="1" x14ac:dyDescent="0.3">
      <c r="AA831" s="30"/>
      <c r="AB831" s="30"/>
      <c r="AC831" s="16"/>
      <c r="AD831" s="41"/>
    </row>
    <row r="832" spans="27:30" ht="15.75" customHeight="1" x14ac:dyDescent="0.3">
      <c r="AA832" s="30"/>
      <c r="AB832" s="30"/>
      <c r="AC832" s="16"/>
      <c r="AD832" s="41"/>
    </row>
    <row r="833" spans="27:30" ht="15.75" customHeight="1" x14ac:dyDescent="0.3">
      <c r="AA833" s="30"/>
      <c r="AB833" s="30"/>
      <c r="AC833" s="16"/>
      <c r="AD833" s="41"/>
    </row>
    <row r="834" spans="27:30" ht="15.75" customHeight="1" x14ac:dyDescent="0.3">
      <c r="AA834" s="30"/>
      <c r="AB834" s="30"/>
      <c r="AC834" s="16"/>
      <c r="AD834" s="41"/>
    </row>
    <row r="835" spans="27:30" ht="15.75" customHeight="1" x14ac:dyDescent="0.3">
      <c r="AA835" s="30"/>
      <c r="AB835" s="30"/>
      <c r="AC835" s="16"/>
      <c r="AD835" s="41"/>
    </row>
    <row r="836" spans="27:30" ht="15.75" customHeight="1" x14ac:dyDescent="0.3">
      <c r="AA836" s="30"/>
      <c r="AB836" s="30"/>
      <c r="AC836" s="16"/>
      <c r="AD836" s="41"/>
    </row>
    <row r="837" spans="27:30" ht="15.75" customHeight="1" x14ac:dyDescent="0.3">
      <c r="AA837" s="30"/>
      <c r="AB837" s="30"/>
      <c r="AC837" s="16"/>
      <c r="AD837" s="41"/>
    </row>
    <row r="838" spans="27:30" ht="15.75" customHeight="1" x14ac:dyDescent="0.3">
      <c r="AA838" s="30"/>
      <c r="AB838" s="30"/>
      <c r="AC838" s="16"/>
      <c r="AD838" s="41"/>
    </row>
    <row r="839" spans="27:30" ht="15.75" customHeight="1" x14ac:dyDescent="0.3">
      <c r="AA839" s="30"/>
      <c r="AB839" s="30"/>
      <c r="AC839" s="16"/>
      <c r="AD839" s="41"/>
    </row>
    <row r="840" spans="27:30" ht="15.75" customHeight="1" x14ac:dyDescent="0.3">
      <c r="AA840" s="30"/>
      <c r="AB840" s="30"/>
      <c r="AC840" s="16"/>
      <c r="AD840" s="41"/>
    </row>
    <row r="841" spans="27:30" ht="15.75" customHeight="1" x14ac:dyDescent="0.3">
      <c r="AA841" s="30"/>
      <c r="AB841" s="30"/>
      <c r="AC841" s="16"/>
      <c r="AD841" s="41"/>
    </row>
    <row r="842" spans="27:30" ht="15.75" customHeight="1" x14ac:dyDescent="0.3">
      <c r="AA842" s="30"/>
      <c r="AB842" s="30"/>
      <c r="AC842" s="16"/>
      <c r="AD842" s="41"/>
    </row>
    <row r="843" spans="27:30" ht="15.75" customHeight="1" x14ac:dyDescent="0.3">
      <c r="AA843" s="30"/>
      <c r="AB843" s="30"/>
      <c r="AC843" s="16"/>
      <c r="AD843" s="41"/>
    </row>
    <row r="844" spans="27:30" ht="15.75" customHeight="1" x14ac:dyDescent="0.3">
      <c r="AA844" s="30"/>
      <c r="AB844" s="30"/>
      <c r="AC844" s="16"/>
      <c r="AD844" s="41"/>
    </row>
    <row r="845" spans="27:30" ht="15.75" customHeight="1" x14ac:dyDescent="0.3">
      <c r="AA845" s="30"/>
      <c r="AB845" s="30"/>
      <c r="AC845" s="16"/>
      <c r="AD845" s="41"/>
    </row>
    <row r="846" spans="27:30" ht="15.75" customHeight="1" x14ac:dyDescent="0.3">
      <c r="AA846" s="30"/>
      <c r="AB846" s="30"/>
      <c r="AC846" s="16"/>
      <c r="AD846" s="41"/>
    </row>
    <row r="847" spans="27:30" ht="15.75" customHeight="1" x14ac:dyDescent="0.3">
      <c r="AA847" s="30"/>
      <c r="AB847" s="30"/>
      <c r="AC847" s="16"/>
      <c r="AD847" s="41"/>
    </row>
    <row r="848" spans="27:30" ht="15.75" customHeight="1" x14ac:dyDescent="0.3">
      <c r="AA848" s="30"/>
      <c r="AB848" s="30"/>
      <c r="AC848" s="16"/>
      <c r="AD848" s="41"/>
    </row>
    <row r="849" spans="27:30" ht="15.75" customHeight="1" x14ac:dyDescent="0.3">
      <c r="AA849" s="30"/>
      <c r="AB849" s="30"/>
      <c r="AC849" s="16"/>
      <c r="AD849" s="41"/>
    </row>
    <row r="850" spans="27:30" ht="15.75" customHeight="1" x14ac:dyDescent="0.3">
      <c r="AA850" s="30"/>
      <c r="AB850" s="30"/>
      <c r="AC850" s="16"/>
      <c r="AD850" s="41"/>
    </row>
    <row r="851" spans="27:30" ht="15.75" customHeight="1" x14ac:dyDescent="0.3">
      <c r="AA851" s="30"/>
      <c r="AB851" s="30"/>
      <c r="AC851" s="16"/>
      <c r="AD851" s="41"/>
    </row>
    <row r="852" spans="27:30" ht="15.75" customHeight="1" x14ac:dyDescent="0.3">
      <c r="AA852" s="30"/>
      <c r="AB852" s="30"/>
      <c r="AC852" s="16"/>
      <c r="AD852" s="41"/>
    </row>
    <row r="853" spans="27:30" ht="15.75" customHeight="1" x14ac:dyDescent="0.3">
      <c r="AA853" s="30"/>
      <c r="AB853" s="30"/>
      <c r="AC853" s="16"/>
      <c r="AD853" s="41"/>
    </row>
    <row r="854" spans="27:30" ht="15.75" customHeight="1" x14ac:dyDescent="0.3">
      <c r="AA854" s="30"/>
      <c r="AB854" s="30"/>
      <c r="AC854" s="16"/>
      <c r="AD854" s="41"/>
    </row>
    <row r="855" spans="27:30" ht="15.75" customHeight="1" x14ac:dyDescent="0.3">
      <c r="AA855" s="30"/>
      <c r="AB855" s="30"/>
      <c r="AC855" s="16"/>
      <c r="AD855" s="41"/>
    </row>
    <row r="856" spans="27:30" ht="15.75" customHeight="1" x14ac:dyDescent="0.3">
      <c r="AA856" s="30"/>
      <c r="AB856" s="30"/>
      <c r="AC856" s="16"/>
      <c r="AD856" s="41"/>
    </row>
    <row r="857" spans="27:30" ht="15.75" customHeight="1" x14ac:dyDescent="0.3">
      <c r="AA857" s="30"/>
      <c r="AB857" s="30"/>
      <c r="AC857" s="16"/>
      <c r="AD857" s="41"/>
    </row>
    <row r="858" spans="27:30" ht="15.75" customHeight="1" x14ac:dyDescent="0.3">
      <c r="AA858" s="30"/>
      <c r="AB858" s="30"/>
      <c r="AC858" s="16"/>
      <c r="AD858" s="41"/>
    </row>
    <row r="859" spans="27:30" ht="15.75" customHeight="1" x14ac:dyDescent="0.3">
      <c r="AA859" s="30"/>
      <c r="AB859" s="30"/>
      <c r="AC859" s="16"/>
      <c r="AD859" s="41"/>
    </row>
    <row r="860" spans="27:30" ht="15.75" customHeight="1" x14ac:dyDescent="0.3">
      <c r="AA860" s="30"/>
      <c r="AB860" s="30"/>
      <c r="AC860" s="16"/>
      <c r="AD860" s="41"/>
    </row>
    <row r="861" spans="27:30" ht="15.75" customHeight="1" x14ac:dyDescent="0.3">
      <c r="AA861" s="30"/>
      <c r="AB861" s="30"/>
      <c r="AC861" s="16"/>
      <c r="AD861" s="41"/>
    </row>
    <row r="862" spans="27:30" ht="15.75" customHeight="1" x14ac:dyDescent="0.3">
      <c r="AA862" s="30"/>
      <c r="AB862" s="30"/>
      <c r="AC862" s="16"/>
      <c r="AD862" s="41"/>
    </row>
    <row r="863" spans="27:30" ht="15.75" customHeight="1" x14ac:dyDescent="0.3">
      <c r="AA863" s="30"/>
      <c r="AB863" s="30"/>
      <c r="AC863" s="16"/>
      <c r="AD863" s="41"/>
    </row>
    <row r="864" spans="27:30" ht="15.75" customHeight="1" x14ac:dyDescent="0.3">
      <c r="AA864" s="30"/>
      <c r="AB864" s="30"/>
      <c r="AC864" s="16"/>
      <c r="AD864" s="41"/>
    </row>
    <row r="865" spans="27:30" ht="15.75" customHeight="1" x14ac:dyDescent="0.3">
      <c r="AA865" s="30"/>
      <c r="AB865" s="30"/>
      <c r="AC865" s="16"/>
      <c r="AD865" s="41"/>
    </row>
    <row r="866" spans="27:30" ht="15.75" customHeight="1" x14ac:dyDescent="0.3">
      <c r="AA866" s="30"/>
      <c r="AB866" s="30"/>
      <c r="AC866" s="16"/>
      <c r="AD866" s="41"/>
    </row>
    <row r="867" spans="27:30" ht="15.75" customHeight="1" x14ac:dyDescent="0.3">
      <c r="AA867" s="30"/>
      <c r="AB867" s="30"/>
      <c r="AC867" s="16"/>
      <c r="AD867" s="41"/>
    </row>
    <row r="868" spans="27:30" ht="15.75" customHeight="1" x14ac:dyDescent="0.3">
      <c r="AA868" s="30"/>
      <c r="AB868" s="30"/>
      <c r="AC868" s="16"/>
      <c r="AD868" s="41"/>
    </row>
    <row r="869" spans="27:30" ht="15.75" customHeight="1" x14ac:dyDescent="0.3">
      <c r="AA869" s="30"/>
      <c r="AB869" s="30"/>
      <c r="AC869" s="16"/>
      <c r="AD869" s="41"/>
    </row>
    <row r="870" spans="27:30" ht="15.75" customHeight="1" x14ac:dyDescent="0.3">
      <c r="AA870" s="30"/>
      <c r="AB870" s="30"/>
      <c r="AC870" s="16"/>
      <c r="AD870" s="41"/>
    </row>
    <row r="871" spans="27:30" ht="15.75" customHeight="1" x14ac:dyDescent="0.3">
      <c r="AA871" s="30"/>
      <c r="AB871" s="30"/>
      <c r="AC871" s="16"/>
      <c r="AD871" s="41"/>
    </row>
    <row r="872" spans="27:30" ht="15.75" customHeight="1" x14ac:dyDescent="0.3">
      <c r="AA872" s="30"/>
      <c r="AB872" s="30"/>
      <c r="AC872" s="16"/>
      <c r="AD872" s="41"/>
    </row>
    <row r="873" spans="27:30" ht="15.75" customHeight="1" x14ac:dyDescent="0.3">
      <c r="AA873" s="30"/>
      <c r="AB873" s="30"/>
      <c r="AC873" s="16"/>
      <c r="AD873" s="41"/>
    </row>
    <row r="874" spans="27:30" ht="15.75" customHeight="1" x14ac:dyDescent="0.3">
      <c r="AA874" s="30"/>
      <c r="AB874" s="30"/>
      <c r="AC874" s="16"/>
      <c r="AD874" s="41"/>
    </row>
    <row r="875" spans="27:30" ht="15.75" customHeight="1" x14ac:dyDescent="0.3">
      <c r="AA875" s="30"/>
      <c r="AB875" s="30"/>
      <c r="AC875" s="16"/>
      <c r="AD875" s="41"/>
    </row>
    <row r="876" spans="27:30" ht="15.75" customHeight="1" x14ac:dyDescent="0.3">
      <c r="AA876" s="30"/>
      <c r="AB876" s="30"/>
      <c r="AC876" s="16"/>
      <c r="AD876" s="41"/>
    </row>
    <row r="877" spans="27:30" ht="15.75" customHeight="1" x14ac:dyDescent="0.3">
      <c r="AA877" s="30"/>
      <c r="AB877" s="30"/>
      <c r="AC877" s="16"/>
      <c r="AD877" s="41"/>
    </row>
    <row r="878" spans="27:30" ht="15.75" customHeight="1" x14ac:dyDescent="0.3">
      <c r="AA878" s="30"/>
      <c r="AB878" s="30"/>
      <c r="AC878" s="16"/>
      <c r="AD878" s="41"/>
    </row>
    <row r="879" spans="27:30" ht="15.75" customHeight="1" x14ac:dyDescent="0.3">
      <c r="AA879" s="30"/>
      <c r="AB879" s="30"/>
      <c r="AC879" s="16"/>
      <c r="AD879" s="41"/>
    </row>
    <row r="880" spans="27:30" ht="15.75" customHeight="1" x14ac:dyDescent="0.3">
      <c r="AA880" s="30"/>
      <c r="AB880" s="30"/>
      <c r="AC880" s="16"/>
      <c r="AD880" s="41"/>
    </row>
    <row r="881" spans="27:30" ht="15.75" customHeight="1" x14ac:dyDescent="0.3">
      <c r="AA881" s="30"/>
      <c r="AB881" s="30"/>
      <c r="AC881" s="16"/>
      <c r="AD881" s="41"/>
    </row>
    <row r="882" spans="27:30" ht="15.75" customHeight="1" x14ac:dyDescent="0.3">
      <c r="AA882" s="30"/>
      <c r="AB882" s="30"/>
      <c r="AC882" s="16"/>
      <c r="AD882" s="41"/>
    </row>
    <row r="883" spans="27:30" ht="15.75" customHeight="1" x14ac:dyDescent="0.3">
      <c r="AA883" s="30"/>
      <c r="AB883" s="30"/>
      <c r="AC883" s="16"/>
      <c r="AD883" s="41"/>
    </row>
    <row r="884" spans="27:30" ht="15.75" customHeight="1" x14ac:dyDescent="0.3">
      <c r="AA884" s="30"/>
      <c r="AB884" s="30"/>
      <c r="AC884" s="16"/>
      <c r="AD884" s="41"/>
    </row>
    <row r="885" spans="27:30" ht="15.75" customHeight="1" x14ac:dyDescent="0.3">
      <c r="AA885" s="30"/>
      <c r="AB885" s="30"/>
      <c r="AC885" s="16"/>
      <c r="AD885" s="41"/>
    </row>
    <row r="886" spans="27:30" ht="15.75" customHeight="1" x14ac:dyDescent="0.3">
      <c r="AA886" s="30"/>
      <c r="AB886" s="30"/>
      <c r="AC886" s="16"/>
      <c r="AD886" s="41"/>
    </row>
    <row r="887" spans="27:30" ht="15.75" customHeight="1" x14ac:dyDescent="0.3">
      <c r="AA887" s="30"/>
      <c r="AB887" s="30"/>
      <c r="AC887" s="16"/>
      <c r="AD887" s="41"/>
    </row>
    <row r="888" spans="27:30" ht="15.75" customHeight="1" x14ac:dyDescent="0.3">
      <c r="AA888" s="30"/>
      <c r="AB888" s="30"/>
      <c r="AC888" s="16"/>
      <c r="AD888" s="41"/>
    </row>
    <row r="889" spans="27:30" ht="15.75" customHeight="1" x14ac:dyDescent="0.3">
      <c r="AA889" s="30"/>
      <c r="AB889" s="30"/>
      <c r="AC889" s="16"/>
      <c r="AD889" s="41"/>
    </row>
    <row r="890" spans="27:30" ht="15.75" customHeight="1" x14ac:dyDescent="0.3">
      <c r="AA890" s="30"/>
      <c r="AB890" s="30"/>
      <c r="AC890" s="16"/>
      <c r="AD890" s="41"/>
    </row>
    <row r="891" spans="27:30" ht="15.75" customHeight="1" x14ac:dyDescent="0.3">
      <c r="AA891" s="30"/>
      <c r="AB891" s="30"/>
      <c r="AC891" s="16"/>
      <c r="AD891" s="41"/>
    </row>
    <row r="892" spans="27:30" ht="15.75" customHeight="1" x14ac:dyDescent="0.3">
      <c r="AA892" s="30"/>
      <c r="AB892" s="30"/>
      <c r="AC892" s="16"/>
      <c r="AD892" s="41"/>
    </row>
    <row r="893" spans="27:30" ht="15.75" customHeight="1" x14ac:dyDescent="0.3">
      <c r="AA893" s="30"/>
      <c r="AB893" s="30"/>
      <c r="AC893" s="16"/>
      <c r="AD893" s="41"/>
    </row>
    <row r="894" spans="27:30" ht="15.75" customHeight="1" x14ac:dyDescent="0.3">
      <c r="AA894" s="30"/>
      <c r="AB894" s="30"/>
      <c r="AC894" s="16"/>
      <c r="AD894" s="41"/>
    </row>
    <row r="895" spans="27:30" ht="15.75" customHeight="1" x14ac:dyDescent="0.3">
      <c r="AA895" s="30"/>
      <c r="AB895" s="30"/>
      <c r="AC895" s="16"/>
      <c r="AD895" s="41"/>
    </row>
    <row r="896" spans="27:30" ht="15.75" customHeight="1" x14ac:dyDescent="0.3">
      <c r="AA896" s="30"/>
      <c r="AB896" s="30"/>
      <c r="AC896" s="16"/>
      <c r="AD896" s="41"/>
    </row>
    <row r="897" spans="27:30" ht="15.75" customHeight="1" x14ac:dyDescent="0.3">
      <c r="AA897" s="30"/>
      <c r="AB897" s="30"/>
      <c r="AC897" s="16"/>
      <c r="AD897" s="41"/>
    </row>
    <row r="898" spans="27:30" ht="15.75" customHeight="1" x14ac:dyDescent="0.3">
      <c r="AA898" s="30"/>
      <c r="AB898" s="30"/>
      <c r="AC898" s="16"/>
      <c r="AD898" s="41"/>
    </row>
    <row r="899" spans="27:30" ht="15.75" customHeight="1" x14ac:dyDescent="0.3">
      <c r="AA899" s="30"/>
      <c r="AB899" s="30"/>
      <c r="AC899" s="16"/>
      <c r="AD899" s="41"/>
    </row>
    <row r="900" spans="27:30" ht="15.75" customHeight="1" x14ac:dyDescent="0.3">
      <c r="AA900" s="30"/>
      <c r="AB900" s="30"/>
      <c r="AC900" s="16"/>
      <c r="AD900" s="41"/>
    </row>
    <row r="901" spans="27:30" ht="15.75" customHeight="1" x14ac:dyDescent="0.3">
      <c r="AA901" s="30"/>
      <c r="AB901" s="30"/>
      <c r="AC901" s="16"/>
      <c r="AD901" s="41"/>
    </row>
    <row r="902" spans="27:30" ht="15.75" customHeight="1" x14ac:dyDescent="0.3">
      <c r="AA902" s="30"/>
      <c r="AB902" s="30"/>
      <c r="AC902" s="16"/>
      <c r="AD902" s="41"/>
    </row>
    <row r="903" spans="27:30" ht="15.75" customHeight="1" x14ac:dyDescent="0.3">
      <c r="AA903" s="30"/>
      <c r="AB903" s="30"/>
      <c r="AC903" s="16"/>
      <c r="AD903" s="41"/>
    </row>
    <row r="904" spans="27:30" ht="15.75" customHeight="1" x14ac:dyDescent="0.3">
      <c r="AA904" s="30"/>
      <c r="AB904" s="30"/>
      <c r="AC904" s="16"/>
      <c r="AD904" s="41"/>
    </row>
    <row r="905" spans="27:30" ht="15.75" customHeight="1" x14ac:dyDescent="0.3">
      <c r="AA905" s="30"/>
      <c r="AB905" s="30"/>
      <c r="AC905" s="16"/>
      <c r="AD905" s="41"/>
    </row>
    <row r="906" spans="27:30" ht="15.75" customHeight="1" x14ac:dyDescent="0.3">
      <c r="AA906" s="30"/>
      <c r="AB906" s="30"/>
      <c r="AC906" s="16"/>
      <c r="AD906" s="41"/>
    </row>
    <row r="907" spans="27:30" ht="15.75" customHeight="1" x14ac:dyDescent="0.3">
      <c r="AA907" s="30"/>
      <c r="AB907" s="30"/>
      <c r="AC907" s="16"/>
      <c r="AD907" s="41"/>
    </row>
    <row r="908" spans="27:30" ht="15.75" customHeight="1" x14ac:dyDescent="0.3">
      <c r="AA908" s="30"/>
      <c r="AB908" s="30"/>
      <c r="AC908" s="16"/>
      <c r="AD908" s="41"/>
    </row>
    <row r="909" spans="27:30" ht="15.75" customHeight="1" x14ac:dyDescent="0.3">
      <c r="AA909" s="30"/>
      <c r="AB909" s="30"/>
      <c r="AC909" s="16"/>
      <c r="AD909" s="41"/>
    </row>
    <row r="910" spans="27:30" ht="15.75" customHeight="1" x14ac:dyDescent="0.3">
      <c r="AA910" s="30"/>
      <c r="AB910" s="30"/>
      <c r="AC910" s="16"/>
      <c r="AD910" s="41"/>
    </row>
    <row r="911" spans="27:30" ht="15.75" customHeight="1" x14ac:dyDescent="0.3">
      <c r="AA911" s="30"/>
      <c r="AB911" s="30"/>
      <c r="AC911" s="16"/>
      <c r="AD911" s="41"/>
    </row>
    <row r="912" spans="27:30" ht="15.75" customHeight="1" x14ac:dyDescent="0.3">
      <c r="AA912" s="30"/>
      <c r="AB912" s="30"/>
      <c r="AC912" s="16"/>
      <c r="AD912" s="41"/>
    </row>
    <row r="913" spans="27:30" ht="15.75" customHeight="1" x14ac:dyDescent="0.3">
      <c r="AA913" s="30"/>
      <c r="AB913" s="30"/>
      <c r="AC913" s="16"/>
      <c r="AD913" s="41"/>
    </row>
    <row r="914" spans="27:30" ht="15.75" customHeight="1" x14ac:dyDescent="0.3">
      <c r="AA914" s="30"/>
      <c r="AB914" s="30"/>
      <c r="AC914" s="16"/>
      <c r="AD914" s="41"/>
    </row>
    <row r="915" spans="27:30" ht="15.75" customHeight="1" x14ac:dyDescent="0.3">
      <c r="AA915" s="30"/>
      <c r="AB915" s="30"/>
      <c r="AC915" s="16"/>
      <c r="AD915" s="41"/>
    </row>
    <row r="916" spans="27:30" ht="15.75" customHeight="1" x14ac:dyDescent="0.3">
      <c r="AA916" s="30"/>
      <c r="AB916" s="30"/>
      <c r="AC916" s="16"/>
      <c r="AD916" s="41"/>
    </row>
    <row r="917" spans="27:30" ht="15.75" customHeight="1" x14ac:dyDescent="0.3">
      <c r="AA917" s="30"/>
      <c r="AB917" s="30"/>
      <c r="AC917" s="16"/>
      <c r="AD917" s="41"/>
    </row>
    <row r="918" spans="27:30" ht="15.75" customHeight="1" x14ac:dyDescent="0.3">
      <c r="AA918" s="30"/>
      <c r="AB918" s="30"/>
      <c r="AC918" s="16"/>
      <c r="AD918" s="41"/>
    </row>
    <row r="919" spans="27:30" ht="15.75" customHeight="1" x14ac:dyDescent="0.3">
      <c r="AA919" s="30"/>
      <c r="AB919" s="30"/>
      <c r="AC919" s="16"/>
      <c r="AD919" s="41"/>
    </row>
    <row r="920" spans="27:30" ht="15.75" customHeight="1" x14ac:dyDescent="0.3">
      <c r="AA920" s="30"/>
      <c r="AB920" s="30"/>
      <c r="AC920" s="16"/>
      <c r="AD920" s="41"/>
    </row>
    <row r="921" spans="27:30" ht="15.75" customHeight="1" x14ac:dyDescent="0.3">
      <c r="AA921" s="30"/>
      <c r="AB921" s="30"/>
      <c r="AC921" s="16"/>
      <c r="AD921" s="41"/>
    </row>
    <row r="922" spans="27:30" ht="15.75" customHeight="1" x14ac:dyDescent="0.3">
      <c r="AA922" s="30"/>
      <c r="AB922" s="30"/>
      <c r="AC922" s="16"/>
      <c r="AD922" s="41"/>
    </row>
    <row r="923" spans="27:30" ht="15.75" customHeight="1" x14ac:dyDescent="0.3">
      <c r="AA923" s="30"/>
      <c r="AB923" s="30"/>
      <c r="AC923" s="16"/>
      <c r="AD923" s="41"/>
    </row>
    <row r="924" spans="27:30" ht="15.75" customHeight="1" x14ac:dyDescent="0.3">
      <c r="AA924" s="30"/>
      <c r="AB924" s="30"/>
      <c r="AC924" s="16"/>
      <c r="AD924" s="41"/>
    </row>
    <row r="925" spans="27:30" ht="15.75" customHeight="1" x14ac:dyDescent="0.3">
      <c r="AA925" s="30"/>
      <c r="AB925" s="30"/>
      <c r="AC925" s="16"/>
      <c r="AD925" s="41"/>
    </row>
    <row r="926" spans="27:30" ht="15.75" customHeight="1" x14ac:dyDescent="0.3">
      <c r="AA926" s="30"/>
      <c r="AB926" s="30"/>
      <c r="AC926" s="16"/>
      <c r="AD926" s="41"/>
    </row>
    <row r="927" spans="27:30" ht="15.75" customHeight="1" x14ac:dyDescent="0.3">
      <c r="AA927" s="30"/>
      <c r="AB927" s="30"/>
      <c r="AC927" s="16"/>
      <c r="AD927" s="41"/>
    </row>
    <row r="928" spans="27:30" ht="15.75" customHeight="1" x14ac:dyDescent="0.3">
      <c r="AA928" s="30"/>
      <c r="AB928" s="30"/>
      <c r="AC928" s="16"/>
      <c r="AD928" s="41"/>
    </row>
    <row r="929" spans="27:30" ht="15.75" customHeight="1" x14ac:dyDescent="0.3">
      <c r="AA929" s="30"/>
      <c r="AB929" s="30"/>
      <c r="AC929" s="16"/>
      <c r="AD929" s="41"/>
    </row>
    <row r="930" spans="27:30" ht="15.75" customHeight="1" x14ac:dyDescent="0.3">
      <c r="AA930" s="30"/>
      <c r="AB930" s="30"/>
      <c r="AC930" s="16"/>
      <c r="AD930" s="41"/>
    </row>
    <row r="931" spans="27:30" ht="15.75" customHeight="1" x14ac:dyDescent="0.3">
      <c r="AA931" s="30"/>
      <c r="AB931" s="30"/>
      <c r="AC931" s="16"/>
      <c r="AD931" s="41"/>
    </row>
    <row r="932" spans="27:30" ht="15.75" customHeight="1" x14ac:dyDescent="0.3">
      <c r="AA932" s="30"/>
      <c r="AB932" s="30"/>
      <c r="AC932" s="16"/>
      <c r="AD932" s="41"/>
    </row>
    <row r="933" spans="27:30" ht="15.75" customHeight="1" x14ac:dyDescent="0.3">
      <c r="AA933" s="30"/>
      <c r="AB933" s="30"/>
      <c r="AC933" s="16"/>
      <c r="AD933" s="41"/>
    </row>
    <row r="934" spans="27:30" ht="15.75" customHeight="1" x14ac:dyDescent="0.3">
      <c r="AA934" s="30"/>
      <c r="AB934" s="30"/>
      <c r="AC934" s="16"/>
      <c r="AD934" s="41"/>
    </row>
    <row r="935" spans="27:30" ht="15.75" customHeight="1" x14ac:dyDescent="0.3">
      <c r="AA935" s="30"/>
      <c r="AB935" s="30"/>
      <c r="AC935" s="16"/>
      <c r="AD935" s="41"/>
    </row>
    <row r="936" spans="27:30" ht="15.75" customHeight="1" x14ac:dyDescent="0.3">
      <c r="AA936" s="30"/>
      <c r="AB936" s="30"/>
      <c r="AC936" s="16"/>
      <c r="AD936" s="41"/>
    </row>
    <row r="937" spans="27:30" ht="15.75" customHeight="1" x14ac:dyDescent="0.3">
      <c r="AA937" s="30"/>
      <c r="AB937" s="30"/>
      <c r="AC937" s="16"/>
      <c r="AD937" s="41"/>
    </row>
    <row r="938" spans="27:30" ht="15.75" customHeight="1" x14ac:dyDescent="0.3">
      <c r="AA938" s="30"/>
      <c r="AB938" s="30"/>
      <c r="AC938" s="16"/>
      <c r="AD938" s="41"/>
    </row>
    <row r="939" spans="27:30" ht="15.75" customHeight="1" x14ac:dyDescent="0.3">
      <c r="AA939" s="30"/>
      <c r="AB939" s="30"/>
      <c r="AC939" s="16"/>
      <c r="AD939" s="41"/>
    </row>
    <row r="940" spans="27:30" ht="15.75" customHeight="1" x14ac:dyDescent="0.3">
      <c r="AA940" s="30"/>
      <c r="AB940" s="30"/>
      <c r="AC940" s="16"/>
      <c r="AD940" s="41"/>
    </row>
    <row r="941" spans="27:30" ht="15.75" customHeight="1" x14ac:dyDescent="0.3">
      <c r="AA941" s="30"/>
      <c r="AB941" s="30"/>
      <c r="AC941" s="16"/>
      <c r="AD941" s="41"/>
    </row>
    <row r="942" spans="27:30" ht="15.75" customHeight="1" x14ac:dyDescent="0.3">
      <c r="AA942" s="30"/>
      <c r="AB942" s="30"/>
      <c r="AC942" s="16"/>
      <c r="AD942" s="41"/>
    </row>
    <row r="943" spans="27:30" ht="15.75" customHeight="1" x14ac:dyDescent="0.3">
      <c r="AA943" s="30"/>
      <c r="AB943" s="30"/>
      <c r="AC943" s="16"/>
      <c r="AD943" s="41"/>
    </row>
    <row r="944" spans="27:30" ht="15.75" customHeight="1" x14ac:dyDescent="0.3">
      <c r="AA944" s="30"/>
      <c r="AB944" s="30"/>
      <c r="AC944" s="16"/>
      <c r="AD944" s="41"/>
    </row>
    <row r="945" spans="27:30" ht="15.75" customHeight="1" x14ac:dyDescent="0.3">
      <c r="AA945" s="30"/>
      <c r="AB945" s="30"/>
      <c r="AC945" s="16"/>
      <c r="AD945" s="41"/>
    </row>
    <row r="946" spans="27:30" ht="15.75" customHeight="1" x14ac:dyDescent="0.3">
      <c r="AA946" s="30"/>
      <c r="AB946" s="30"/>
      <c r="AC946" s="16"/>
      <c r="AD946" s="41"/>
    </row>
    <row r="947" spans="27:30" ht="15.75" customHeight="1" x14ac:dyDescent="0.3">
      <c r="AA947" s="30"/>
      <c r="AB947" s="30"/>
      <c r="AC947" s="16"/>
      <c r="AD947" s="41"/>
    </row>
    <row r="948" spans="27:30" ht="15.75" customHeight="1" x14ac:dyDescent="0.3">
      <c r="AA948" s="30"/>
      <c r="AB948" s="30"/>
      <c r="AC948" s="16"/>
      <c r="AD948" s="41"/>
    </row>
    <row r="949" spans="27:30" ht="15.75" customHeight="1" x14ac:dyDescent="0.3">
      <c r="AA949" s="30"/>
      <c r="AB949" s="30"/>
      <c r="AC949" s="16"/>
      <c r="AD949" s="41"/>
    </row>
    <row r="950" spans="27:30" ht="15.75" customHeight="1" x14ac:dyDescent="0.3">
      <c r="AA950" s="30"/>
      <c r="AB950" s="30"/>
      <c r="AC950" s="16"/>
      <c r="AD950" s="41"/>
    </row>
    <row r="951" spans="27:30" ht="15.75" customHeight="1" x14ac:dyDescent="0.3">
      <c r="AA951" s="30"/>
      <c r="AB951" s="30"/>
      <c r="AC951" s="16"/>
      <c r="AD951" s="41"/>
    </row>
    <row r="952" spans="27:30" ht="15.75" customHeight="1" x14ac:dyDescent="0.3">
      <c r="AA952" s="30"/>
      <c r="AB952" s="30"/>
      <c r="AC952" s="16"/>
      <c r="AD952" s="41"/>
    </row>
    <row r="953" spans="27:30" ht="15.75" customHeight="1" x14ac:dyDescent="0.3">
      <c r="AA953" s="30"/>
      <c r="AB953" s="30"/>
      <c r="AC953" s="16"/>
      <c r="AD953" s="41"/>
    </row>
    <row r="954" spans="27:30" ht="15.75" customHeight="1" x14ac:dyDescent="0.3">
      <c r="AA954" s="30"/>
      <c r="AB954" s="30"/>
      <c r="AC954" s="16"/>
      <c r="AD954" s="41"/>
    </row>
    <row r="955" spans="27:30" ht="15.75" customHeight="1" x14ac:dyDescent="0.3">
      <c r="AA955" s="30"/>
      <c r="AB955" s="30"/>
      <c r="AC955" s="16"/>
      <c r="AD955" s="41"/>
    </row>
    <row r="956" spans="27:30" ht="15.75" customHeight="1" x14ac:dyDescent="0.3">
      <c r="AA956" s="30"/>
      <c r="AB956" s="30"/>
      <c r="AC956" s="16"/>
      <c r="AD956" s="41"/>
    </row>
    <row r="957" spans="27:30" ht="15.75" customHeight="1" x14ac:dyDescent="0.3">
      <c r="AA957" s="30"/>
      <c r="AB957" s="30"/>
      <c r="AC957" s="16"/>
      <c r="AD957" s="41"/>
    </row>
    <row r="958" spans="27:30" ht="15.75" customHeight="1" x14ac:dyDescent="0.3">
      <c r="AA958" s="30"/>
      <c r="AB958" s="30"/>
      <c r="AC958" s="16"/>
      <c r="AD958" s="41"/>
    </row>
    <row r="959" spans="27:30" ht="15.75" customHeight="1" x14ac:dyDescent="0.3">
      <c r="AA959" s="30"/>
      <c r="AB959" s="30"/>
      <c r="AC959" s="16"/>
      <c r="AD959" s="41"/>
    </row>
    <row r="960" spans="27:30" ht="15.75" customHeight="1" x14ac:dyDescent="0.3">
      <c r="AA960" s="30"/>
      <c r="AB960" s="30"/>
      <c r="AC960" s="16"/>
      <c r="AD960" s="41"/>
    </row>
    <row r="961" spans="27:30" ht="15.75" customHeight="1" x14ac:dyDescent="0.3">
      <c r="AA961" s="30"/>
      <c r="AB961" s="30"/>
      <c r="AC961" s="16"/>
      <c r="AD961" s="41"/>
    </row>
    <row r="962" spans="27:30" ht="15.75" customHeight="1" x14ac:dyDescent="0.3">
      <c r="AA962" s="30"/>
      <c r="AB962" s="30"/>
      <c r="AC962" s="16"/>
      <c r="AD962" s="41"/>
    </row>
    <row r="963" spans="27:30" ht="15.75" customHeight="1" x14ac:dyDescent="0.3">
      <c r="AA963" s="30"/>
      <c r="AB963" s="30"/>
      <c r="AC963" s="16"/>
      <c r="AD963" s="41"/>
    </row>
    <row r="964" spans="27:30" ht="15.75" customHeight="1" x14ac:dyDescent="0.3">
      <c r="AA964" s="30"/>
      <c r="AB964" s="30"/>
      <c r="AC964" s="16"/>
      <c r="AD964" s="41"/>
    </row>
    <row r="965" spans="27:30" ht="15.75" customHeight="1" x14ac:dyDescent="0.3">
      <c r="AA965" s="30"/>
      <c r="AB965" s="30"/>
      <c r="AC965" s="16"/>
      <c r="AD965" s="41"/>
    </row>
    <row r="966" spans="27:30" ht="15.75" customHeight="1" x14ac:dyDescent="0.3">
      <c r="AA966" s="30"/>
      <c r="AB966" s="30"/>
      <c r="AC966" s="16"/>
      <c r="AD966" s="41"/>
    </row>
    <row r="967" spans="27:30" ht="15.75" customHeight="1" x14ac:dyDescent="0.3">
      <c r="AA967" s="30"/>
      <c r="AB967" s="30"/>
      <c r="AC967" s="16"/>
      <c r="AD967" s="41"/>
    </row>
    <row r="968" spans="27:30" ht="15.75" customHeight="1" x14ac:dyDescent="0.3">
      <c r="AA968" s="30"/>
      <c r="AB968" s="30"/>
      <c r="AC968" s="16"/>
      <c r="AD968" s="41"/>
    </row>
    <row r="969" spans="27:30" ht="15.75" customHeight="1" x14ac:dyDescent="0.3">
      <c r="AA969" s="30"/>
      <c r="AB969" s="30"/>
      <c r="AC969" s="16"/>
      <c r="AD969" s="41"/>
    </row>
    <row r="970" spans="27:30" ht="15.75" customHeight="1" x14ac:dyDescent="0.3">
      <c r="AA970" s="30"/>
      <c r="AB970" s="30"/>
      <c r="AC970" s="16"/>
      <c r="AD970" s="41"/>
    </row>
    <row r="971" spans="27:30" ht="15.75" customHeight="1" x14ac:dyDescent="0.3">
      <c r="AA971" s="30"/>
      <c r="AB971" s="30"/>
      <c r="AC971" s="16"/>
      <c r="AD971" s="41"/>
    </row>
    <row r="972" spans="27:30" ht="15.75" customHeight="1" x14ac:dyDescent="0.3">
      <c r="AA972" s="30"/>
      <c r="AB972" s="30"/>
      <c r="AC972" s="16"/>
      <c r="AD972" s="41"/>
    </row>
    <row r="973" spans="27:30" ht="15.75" customHeight="1" x14ac:dyDescent="0.3">
      <c r="AA973" s="30"/>
      <c r="AB973" s="30"/>
      <c r="AC973" s="16"/>
      <c r="AD973" s="41"/>
    </row>
    <row r="974" spans="27:30" ht="15.75" customHeight="1" x14ac:dyDescent="0.3">
      <c r="AA974" s="30"/>
      <c r="AB974" s="30"/>
      <c r="AC974" s="16"/>
      <c r="AD974" s="41"/>
    </row>
    <row r="975" spans="27:30" ht="15.75" customHeight="1" x14ac:dyDescent="0.3">
      <c r="AA975" s="30"/>
      <c r="AB975" s="30"/>
      <c r="AC975" s="16"/>
      <c r="AD975" s="41"/>
    </row>
    <row r="976" spans="27:30" ht="15.75" customHeight="1" x14ac:dyDescent="0.3">
      <c r="AA976" s="30"/>
      <c r="AB976" s="30"/>
      <c r="AC976" s="16"/>
      <c r="AD976" s="41"/>
    </row>
    <row r="977" spans="27:30" ht="15.75" customHeight="1" x14ac:dyDescent="0.3">
      <c r="AA977" s="30"/>
      <c r="AB977" s="30"/>
      <c r="AC977" s="16"/>
      <c r="AD977" s="4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D5" sqref="D5"/>
    </sheetView>
  </sheetViews>
  <sheetFormatPr defaultColWidth="14.453125" defaultRowHeight="15" customHeight="1" x14ac:dyDescent="0.35"/>
  <cols>
    <col min="1" max="2" width="10.7265625" customWidth="1"/>
    <col min="3" max="3" width="14.08984375" bestFit="1" customWidth="1"/>
    <col min="4" max="4" width="14.453125" bestFit="1" customWidth="1"/>
    <col min="5" max="26" width="10.7265625" customWidth="1"/>
  </cols>
  <sheetData>
    <row r="1" spans="1:7" ht="14.5" x14ac:dyDescent="0.35">
      <c r="A1" s="7" t="s">
        <v>63</v>
      </c>
      <c r="B1" s="7"/>
      <c r="C1" s="7"/>
      <c r="D1" s="7"/>
      <c r="E1" s="7"/>
    </row>
    <row r="2" spans="1:7" ht="15" customHeight="1" x14ac:dyDescent="0.35">
      <c r="A2" s="7"/>
      <c r="B2" s="7"/>
      <c r="C2" s="8" t="s">
        <v>70</v>
      </c>
      <c r="D2" s="8" t="s">
        <v>71</v>
      </c>
      <c r="E2" s="8" t="s">
        <v>72</v>
      </c>
    </row>
    <row r="3" spans="1:7" ht="14.5" x14ac:dyDescent="0.35">
      <c r="A3" s="7" t="s">
        <v>65</v>
      </c>
      <c r="B3" s="7" t="s">
        <v>64</v>
      </c>
      <c r="C3" s="9">
        <v>45.063200000000002</v>
      </c>
      <c r="D3" s="9">
        <v>13.6592</v>
      </c>
      <c r="E3" s="10" t="s">
        <v>73</v>
      </c>
    </row>
    <row r="4" spans="1:7" ht="14.5" x14ac:dyDescent="0.35">
      <c r="A4" s="7" t="s">
        <v>67</v>
      </c>
      <c r="B4" s="7" t="s">
        <v>66</v>
      </c>
      <c r="C4" s="11">
        <v>45.104759999999999</v>
      </c>
      <c r="D4" s="7">
        <v>13.615665</v>
      </c>
      <c r="E4" s="10" t="s">
        <v>73</v>
      </c>
    </row>
    <row r="5" spans="1:7" ht="14.5" x14ac:dyDescent="0.35">
      <c r="A5" s="7" t="s">
        <v>69</v>
      </c>
      <c r="B5" s="7" t="s">
        <v>68</v>
      </c>
      <c r="C5" s="11">
        <v>45.069000000000003</v>
      </c>
      <c r="D5" s="11">
        <v>13.6335</v>
      </c>
      <c r="E5" s="10" t="s">
        <v>73</v>
      </c>
    </row>
    <row r="8" spans="1:7" ht="15" customHeight="1" x14ac:dyDescent="0.35">
      <c r="C8" s="3"/>
      <c r="D8" s="3"/>
      <c r="E8" s="4"/>
      <c r="F8" s="4"/>
      <c r="G8" s="4"/>
    </row>
    <row r="9" spans="1:7" ht="15" customHeight="1" x14ac:dyDescent="0.35">
      <c r="C9" s="1"/>
      <c r="D9" s="1"/>
      <c r="E9" s="5"/>
      <c r="F9" s="5"/>
      <c r="G9" s="2"/>
    </row>
    <row r="10" spans="1:7" ht="15" customHeight="1" x14ac:dyDescent="0.35">
      <c r="C10" s="6"/>
      <c r="D10" s="6"/>
      <c r="E10" s="6"/>
      <c r="F10" s="6"/>
      <c r="G10" s="2"/>
    </row>
    <row r="11" spans="1:7" ht="15" customHeight="1" x14ac:dyDescent="0.35">
      <c r="C11" s="6"/>
      <c r="D11" s="6"/>
      <c r="E11" s="5"/>
      <c r="F11" s="6"/>
      <c r="G11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C4:D5">
    <cfRule type="notContainsBlanks" dxfId="1" priority="1">
      <formula>LEN(TRIM(C4))&gt;0</formula>
    </cfRule>
  </conditionalFormatting>
  <conditionalFormatting sqref="E9:F11">
    <cfRule type="notContainsBlanks" dxfId="0" priority="3">
      <formula>LEN(TRIM(E9))&gt;0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Barbara Mikac</cp:lastModifiedBy>
  <dcterms:created xsi:type="dcterms:W3CDTF">2015-06-05T18:19:34Z</dcterms:created>
  <dcterms:modified xsi:type="dcterms:W3CDTF">2025-06-15T19:47:06Z</dcterms:modified>
</cp:coreProperties>
</file>