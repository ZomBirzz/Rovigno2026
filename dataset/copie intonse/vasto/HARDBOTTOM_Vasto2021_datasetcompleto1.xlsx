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federicacostantini/Desktop/UNIVERSITA/DIDATTICA/Rovigno/ROVIGNO2021/"/>
    </mc:Choice>
  </mc:AlternateContent>
  <xr:revisionPtr revIDLastSave="0" documentId="13_ncr:1_{C16ACACA-FB84-6B45-AC67-945312140118}" xr6:coauthVersionLast="47" xr6:coauthVersionMax="47" xr10:uidLastSave="{00000000-0000-0000-0000-000000000000}"/>
  <bookViews>
    <workbookView xWindow="0" yWindow="500" windowWidth="28800" windowHeight="16220" activeTab="3" xr2:uid="{00000000-000D-0000-FFFF-FFFF00000000}"/>
  </bookViews>
  <sheets>
    <sheet name="ricoprimento%" sheetId="1" r:id="rId1"/>
    <sheet name="Fauna associata" sheetId="4" r:id="rId2"/>
    <sheet name="metadata" sheetId="7" r:id="rId3"/>
    <sheet name="tesin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8" i="8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3" i="1"/>
  <c r="Y77" i="1"/>
</calcChain>
</file>

<file path=xl/sharedStrings.xml><?xml version="1.0" encoding="utf-8"?>
<sst xmlns="http://schemas.openxmlformats.org/spreadsheetml/2006/main" count="230" uniqueCount="143">
  <si>
    <t>Sito</t>
  </si>
  <si>
    <t>Alsidium coralinium</t>
  </si>
  <si>
    <t>Padina pavonica</t>
  </si>
  <si>
    <t>Mytilus galloprovincialis</t>
  </si>
  <si>
    <t>Gastrochaena dubia</t>
  </si>
  <si>
    <t>Feltro</t>
  </si>
  <si>
    <t>Roccia nuda</t>
  </si>
  <si>
    <t>Mycrolipophyris dalmatinus</t>
  </si>
  <si>
    <t>3 individui</t>
  </si>
  <si>
    <t>1 individuo</t>
  </si>
  <si>
    <t>2 individui</t>
  </si>
  <si>
    <t>1 individui</t>
  </si>
  <si>
    <t>4 individui</t>
  </si>
  <si>
    <t>11 individui</t>
  </si>
  <si>
    <t>9 indidui</t>
  </si>
  <si>
    <t>3 individuo</t>
  </si>
  <si>
    <t>2 individuo</t>
  </si>
  <si>
    <t>Replica</t>
  </si>
  <si>
    <t>Balanidae</t>
  </si>
  <si>
    <t>Eriphia verrucosa</t>
  </si>
  <si>
    <t>Porifera</t>
  </si>
  <si>
    <t>Cliona viridis</t>
  </si>
  <si>
    <t>10 individui</t>
  </si>
  <si>
    <t>casarza</t>
  </si>
  <si>
    <t>cungarelle</t>
  </si>
  <si>
    <t>bagnante</t>
  </si>
  <si>
    <r>
      <rPr>
        <i/>
        <sz val="11"/>
        <color theme="1"/>
        <rFont val="Calibri"/>
        <family val="2"/>
        <scheme val="minor"/>
      </rPr>
      <t>Paleomon elegans</t>
    </r>
    <r>
      <rPr>
        <sz val="11"/>
        <color theme="1"/>
        <rFont val="Calibri"/>
        <family val="2"/>
        <scheme val="minor"/>
      </rPr>
      <t xml:space="preserve"> (gamberetto)</t>
    </r>
  </si>
  <si>
    <r>
      <rPr>
        <i/>
        <sz val="11"/>
        <color theme="1"/>
        <rFont val="Calibri"/>
        <family val="2"/>
        <scheme val="minor"/>
      </rPr>
      <t>Parablennius tentacularis</t>
    </r>
    <r>
      <rPr>
        <sz val="11"/>
        <color theme="1"/>
        <rFont val="Calibri"/>
        <family val="2"/>
        <scheme val="minor"/>
      </rPr>
      <t xml:space="preserve"> (bavosa cornuta)</t>
    </r>
  </si>
  <si>
    <r>
      <rPr>
        <i/>
        <sz val="11"/>
        <color theme="1"/>
        <rFont val="Calibri"/>
        <family val="2"/>
        <scheme val="minor"/>
      </rPr>
      <t>Patella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</si>
  <si>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Pagurus</t>
    </r>
    <r>
      <rPr>
        <sz val="11"/>
        <color theme="1"/>
        <rFont val="Calibri"/>
        <family val="2"/>
        <scheme val="minor"/>
      </rPr>
      <t xml:space="preserve"> sp.</t>
    </r>
  </si>
  <si>
    <t>Plathelminthes</t>
  </si>
  <si>
    <t>lat</t>
  </si>
  <si>
    <t>long</t>
  </si>
  <si>
    <t>42.12086</t>
  </si>
  <si>
    <t>14.72151</t>
  </si>
  <si>
    <t>42.11593</t>
  </si>
  <si>
    <t>14.72101</t>
  </si>
  <si>
    <t>42.10999</t>
  </si>
  <si>
    <t>14.71922</t>
  </si>
  <si>
    <t>Valeria</t>
  </si>
  <si>
    <t>Carlotta</t>
  </si>
  <si>
    <t>Alessia</t>
  </si>
  <si>
    <t>Palisada perforata</t>
  </si>
  <si>
    <t>Gaspare</t>
  </si>
  <si>
    <t>Christian</t>
  </si>
  <si>
    <t>Iris</t>
  </si>
  <si>
    <t>iris</t>
  </si>
  <si>
    <t>Eleonora</t>
  </si>
  <si>
    <t xml:space="preserve"> Laurencia obtusa</t>
  </si>
  <si>
    <t>Lisa</t>
  </si>
  <si>
    <t>Claudia</t>
  </si>
  <si>
    <t>eleonora</t>
  </si>
  <si>
    <t>Melarhaphe neritoides</t>
  </si>
  <si>
    <t>Giulia</t>
  </si>
  <si>
    <t>Carla</t>
  </si>
  <si>
    <t>Linda</t>
  </si>
  <si>
    <t>Chiara</t>
  </si>
  <si>
    <t>Amphiroa rigida</t>
  </si>
  <si>
    <t>Giorgia</t>
  </si>
  <si>
    <t>Crustacea Isopoda</t>
  </si>
  <si>
    <t>Crustacea Amphipoda</t>
  </si>
  <si>
    <t>Mollusca Polyplacophora</t>
  </si>
  <si>
    <t>Alexia</t>
  </si>
  <si>
    <t>Sara</t>
  </si>
  <si>
    <t>Elisa</t>
  </si>
  <si>
    <t>Monica</t>
  </si>
  <si>
    <t>Elena</t>
  </si>
  <si>
    <t>Halymenia floresii</t>
  </si>
  <si>
    <t>Jania rubens</t>
  </si>
  <si>
    <t>Enteromorpha intestinalis</t>
  </si>
  <si>
    <t>Balint</t>
  </si>
  <si>
    <t>Luca</t>
  </si>
  <si>
    <t>Giorgo</t>
  </si>
  <si>
    <t>Giorgio</t>
  </si>
  <si>
    <t>Acetabularia acetabulum</t>
  </si>
  <si>
    <t>Martina</t>
  </si>
  <si>
    <t>Hexaplex trunculus</t>
  </si>
  <si>
    <t>Anemonia sulcata</t>
  </si>
  <si>
    <t>Cnidaria</t>
  </si>
  <si>
    <t>Fabio</t>
  </si>
  <si>
    <t>Nicola</t>
  </si>
  <si>
    <t>Noemi</t>
  </si>
  <si>
    <t>Matilda</t>
  </si>
  <si>
    <t>Alessandro</t>
  </si>
  <si>
    <t>Matteo</t>
  </si>
  <si>
    <t>Gaia</t>
  </si>
  <si>
    <t>Actinia equina</t>
  </si>
  <si>
    <t>Annalisa</t>
  </si>
  <si>
    <t>Susanna</t>
  </si>
  <si>
    <t>Hypnea musciformis</t>
  </si>
  <si>
    <t>Serena</t>
  </si>
  <si>
    <t>Nemertea</t>
  </si>
  <si>
    <t>Nematoda</t>
  </si>
  <si>
    <t>Crustacea Decapoda</t>
  </si>
  <si>
    <t>Mollusca Gastropoda</t>
  </si>
  <si>
    <t>Mollusca Bivalvia</t>
  </si>
  <si>
    <t>Annelida Polychaeta</t>
  </si>
  <si>
    <t>Echinodermata Ophiuroidea</t>
  </si>
  <si>
    <t>Operatore</t>
  </si>
  <si>
    <t>Rhodophita</t>
  </si>
  <si>
    <t>Ulva lactuca</t>
  </si>
  <si>
    <t>Chlorophyta</t>
  </si>
  <si>
    <t>Phaeophyta</t>
  </si>
  <si>
    <r>
      <t xml:space="preserve">Cystoseira </t>
    </r>
    <r>
      <rPr>
        <sz val="11"/>
        <color theme="1"/>
        <rFont val="Calibri"/>
        <family val="2"/>
        <scheme val="minor"/>
      </rPr>
      <t>spp.</t>
    </r>
  </si>
  <si>
    <t>Dictyota dichotoma</t>
  </si>
  <si>
    <t>Ceramium ciliatum</t>
  </si>
  <si>
    <r>
      <rPr>
        <i/>
        <sz val="11"/>
        <color theme="1"/>
        <rFont val="Calibri"/>
        <family val="2"/>
        <scheme val="minor"/>
      </rPr>
      <t xml:space="preserve">Sabellaria </t>
    </r>
    <r>
      <rPr>
        <sz val="11"/>
        <color theme="1"/>
        <rFont val="Calibri"/>
        <family val="2"/>
        <scheme val="minor"/>
      </rPr>
      <t>sp.</t>
    </r>
  </si>
  <si>
    <t>Alga rossa sp1</t>
  </si>
  <si>
    <t>Simil codium</t>
  </si>
  <si>
    <t>bifurcata</t>
  </si>
  <si>
    <t>Alga bruna sp1</t>
  </si>
  <si>
    <t>Rhodophita sp1</t>
  </si>
  <si>
    <t>Phaeophyta sp1</t>
  </si>
  <si>
    <r>
      <rPr>
        <i/>
        <sz val="11"/>
        <color theme="1"/>
        <rFont val="Calibri"/>
        <family val="2"/>
        <scheme val="minor"/>
      </rPr>
      <t xml:space="preserve">Peyssonellia </t>
    </r>
    <r>
      <rPr>
        <sz val="11"/>
        <color theme="1"/>
        <rFont val="Calibri"/>
        <family val="2"/>
        <scheme val="minor"/>
      </rPr>
      <t>sp.</t>
    </r>
  </si>
  <si>
    <r>
      <rPr>
        <i/>
        <sz val="11"/>
        <color theme="1"/>
        <rFont val="Calibri"/>
        <family val="2"/>
        <scheme val="minor"/>
      </rPr>
      <t xml:space="preserve">Corallina </t>
    </r>
    <r>
      <rPr>
        <sz val="11"/>
        <color theme="1"/>
        <rFont val="Calibri"/>
        <family val="2"/>
        <scheme val="minor"/>
      </rPr>
      <t xml:space="preserve">sp. </t>
    </r>
  </si>
  <si>
    <t>TOTALE</t>
  </si>
  <si>
    <t>Paracentrotus lividus</t>
  </si>
  <si>
    <t>Echinodermata</t>
  </si>
  <si>
    <t>Gastropoda</t>
  </si>
  <si>
    <r>
      <rPr>
        <i/>
        <sz val="11"/>
        <color theme="1"/>
        <rFont val="Calibri"/>
        <family val="2"/>
        <scheme val="minor"/>
      </rPr>
      <t xml:space="preserve">Patella </t>
    </r>
    <r>
      <rPr>
        <sz val="11"/>
        <color theme="1"/>
        <rFont val="Calibri"/>
        <family val="2"/>
        <scheme val="minor"/>
      </rPr>
      <t>sp.</t>
    </r>
  </si>
  <si>
    <t>Decapoda</t>
  </si>
  <si>
    <r>
      <rPr>
        <i/>
        <sz val="11"/>
        <color theme="1"/>
        <rFont val="Calibri"/>
        <family val="2"/>
        <scheme val="minor"/>
      </rPr>
      <t>Paguru</t>
    </r>
    <r>
      <rPr>
        <sz val="11"/>
        <color theme="1"/>
        <rFont val="Calibri"/>
        <family val="2"/>
        <scheme val="minor"/>
      </rPr>
      <t>s sp.</t>
    </r>
  </si>
  <si>
    <t>Gastropoda sp.1</t>
  </si>
  <si>
    <t>Crustacea</t>
  </si>
  <si>
    <r>
      <rPr>
        <i/>
        <sz val="11"/>
        <color theme="1"/>
        <rFont val="Calibri"/>
        <family val="2"/>
        <scheme val="minor"/>
      </rPr>
      <t>Chtamalus s</t>
    </r>
    <r>
      <rPr>
        <sz val="11"/>
        <color theme="1"/>
        <rFont val="Calibri"/>
        <family val="2"/>
        <scheme val="minor"/>
      </rPr>
      <t>p.</t>
    </r>
  </si>
  <si>
    <r>
      <rPr>
        <i/>
        <sz val="11"/>
        <color theme="1"/>
        <rFont val="Calibri"/>
        <family val="2"/>
        <scheme val="minor"/>
      </rPr>
      <t>Balanus</t>
    </r>
    <r>
      <rPr>
        <sz val="11"/>
        <color theme="1"/>
        <rFont val="Calibri"/>
        <family val="2"/>
        <scheme val="minor"/>
      </rPr>
      <t xml:space="preserve"> sp.</t>
    </r>
  </si>
  <si>
    <t>Eleonora Bray</t>
  </si>
  <si>
    <t>variabilitàspazio temporale dei tre  gruppi algali</t>
  </si>
  <si>
    <t>Anemoni</t>
  </si>
  <si>
    <t>analisi spaziale  fauna epibentonica</t>
  </si>
  <si>
    <t>Cecilia</t>
  </si>
  <si>
    <t>correlazione alghe molluschi</t>
  </si>
  <si>
    <t>analisi spaziale delle abbondanze di fauna vagile nei mitili</t>
  </si>
  <si>
    <t>Cristian</t>
  </si>
  <si>
    <t>Presenza assenza  e abbondanza variabilità spazio temporale platelminti</t>
  </si>
  <si>
    <t>variabilità rovigno/vasto</t>
  </si>
  <si>
    <t>???</t>
  </si>
  <si>
    <t>varaibilità spaziale crostacei (mitili)</t>
  </si>
  <si>
    <t>variabilità nel rapporto crostacei annelidi spaio temporale (mitili)</t>
  </si>
  <si>
    <t>indici qualità e variabilità dei popolamenti</t>
  </si>
  <si>
    <t>variabilità spazio temporale mitili</t>
  </si>
  <si>
    <t>variabilità spaziale/temporale chlorophite</t>
  </si>
  <si>
    <t>caratterizzazione della comunità epibentoniche spazio/temporale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</si>
</sst>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276F8B"/>
      <name val="Trebuchet MS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6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0" fillId="0" borderId="0" xfId="0" applyFill="1" applyAlignment="1">
      <alignment horizontal="left"/>
    </xf>
    <xf numFmtId="2" fontId="0" fillId="0" borderId="0" xfId="0" applyNumberFormat="1" applyFill="1" applyAlignment="1">
      <alignment horizontal="left"/>
    </xf>
    <xf numFmtId="2" fontId="6" fillId="0" borderId="0" xfId="0" applyNumberFormat="1" applyFont="1" applyFill="1" applyAlignment="1">
      <alignment horizontal="left"/>
    </xf>
    <xf numFmtId="0" fontId="0" fillId="0" borderId="0" xfId="0" applyFill="1"/>
    <xf numFmtId="2" fontId="0" fillId="0" borderId="0" xfId="0" applyNumberFormat="1" applyFill="1"/>
    <xf numFmtId="0" fontId="0" fillId="2" borderId="0" xfId="0" applyFill="1" applyAlignment="1">
      <alignment horizontal="left"/>
    </xf>
    <xf numFmtId="0" fontId="0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/>
    <xf numFmtId="49" fontId="0" fillId="0" borderId="0" xfId="0" applyNumberFormat="1"/>
    <xf numFmtId="0" fontId="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51">
    <cellStyle name="Collegamento ipertestuale" xfId="35" builtinId="8" hidden="1"/>
    <cellStyle name="Collegamento ipertestuale" xfId="19" builtinId="8" hidden="1"/>
    <cellStyle name="Collegamento ipertestuale" xfId="9" builtinId="8" hidden="1"/>
    <cellStyle name="Collegamento ipertestuale" xfId="13" builtinId="8" hidden="1"/>
    <cellStyle name="Collegamento ipertestuale" xfId="5" builtinId="8" hidden="1"/>
    <cellStyle name="Collegamento ipertestuale" xfId="1" builtinId="8" hidden="1"/>
    <cellStyle name="Collegamento ipertestuale" xfId="3" builtinId="8" hidden="1"/>
    <cellStyle name="Collegamento ipertestuale" xfId="11" builtinId="8" hidden="1"/>
    <cellStyle name="Collegamento ipertestuale" xfId="7" builtinId="8" hidden="1"/>
    <cellStyle name="Collegamento ipertestuale" xfId="27" builtinId="8" hidden="1"/>
    <cellStyle name="Collegamento ipertestuale" xfId="41" builtinId="8" hidden="1"/>
    <cellStyle name="Collegamento ipertestuale" xfId="101" builtinId="8" hidden="1"/>
    <cellStyle name="Collegamento ipertestuale" xfId="97" builtinId="8" hidden="1"/>
    <cellStyle name="Collegamento ipertestuale" xfId="43" builtinId="8" hidden="1"/>
    <cellStyle name="Collegamento ipertestuale" xfId="15" builtinId="8" hidden="1"/>
    <cellStyle name="Collegamento ipertestuale" xfId="17" builtinId="8" hidden="1"/>
    <cellStyle name="Collegamento ipertestuale" xfId="23" builtinId="8" hidden="1"/>
    <cellStyle name="Collegamento ipertestuale" xfId="25" builtinId="8" hidden="1"/>
    <cellStyle name="Collegamento ipertestuale" xfId="29" builtinId="8" hidden="1"/>
    <cellStyle name="Collegamento ipertestuale" xfId="33" builtinId="8" hidden="1"/>
    <cellStyle name="Collegamento ipertestuale" xfId="37" builtinId="8" hidden="1"/>
    <cellStyle name="Collegamento ipertestuale" xfId="39" builtinId="8" hidden="1"/>
    <cellStyle name="Collegamento ipertestuale" xfId="31" builtinId="8" hidden="1"/>
    <cellStyle name="Collegamento ipertestuale" xfId="21" builtinId="8" hidden="1"/>
    <cellStyle name="Collegamento ipertestuale" xfId="47" builtinId="8" hidden="1"/>
    <cellStyle name="Collegamento ipertestuale" xfId="103" builtinId="8" hidden="1"/>
    <cellStyle name="Collegamento ipertestuale" xfId="107" builtinId="8" hidden="1"/>
    <cellStyle name="Collegamento ipertestuale" xfId="109" builtinId="8" hidden="1"/>
    <cellStyle name="Collegamento ipertestuale" xfId="105" builtinId="8" hidden="1"/>
    <cellStyle name="Collegamento ipertestuale" xfId="95" builtinId="8" hidden="1"/>
    <cellStyle name="Collegamento ipertestuale" xfId="99" builtinId="8" hidden="1"/>
    <cellStyle name="Collegamento ipertestuale" xfId="45" builtinId="8" hidden="1"/>
    <cellStyle name="Collegamento ipertestuale" xfId="111" builtinId="8" hidden="1"/>
    <cellStyle name="Collegamento ipertestuale" xfId="113" builtinId="8" hidden="1"/>
    <cellStyle name="Collegamento ipertestuale" xfId="115" builtinId="8" hidden="1"/>
    <cellStyle name="Collegamento ipertestuale" xfId="117" builtinId="8" hidden="1"/>
    <cellStyle name="Collegamento ipertestuale" xfId="119" builtinId="8" hidden="1"/>
    <cellStyle name="Collegamento ipertestuale" xfId="121" builtinId="8" hidden="1"/>
    <cellStyle name="Collegamento ipertestuale" xfId="123" builtinId="8" hidden="1"/>
    <cellStyle name="Collegamento ipertestuale" xfId="125" builtinId="8" hidden="1"/>
    <cellStyle name="Collegamento ipertestuale" xfId="127" builtinId="8" hidden="1"/>
    <cellStyle name="Collegamento ipertestuale" xfId="129" builtinId="8" hidden="1"/>
    <cellStyle name="Collegamento ipertestuale" xfId="131" builtinId="8" hidden="1"/>
    <cellStyle name="Collegamento ipertestuale" xfId="133" builtinId="8" hidden="1"/>
    <cellStyle name="Collegamento ipertestuale" xfId="135" builtinId="8" hidden="1"/>
    <cellStyle name="Collegamento ipertestuale" xfId="137" builtinId="8" hidden="1"/>
    <cellStyle name="Collegamento ipertestuale" xfId="139" builtinId="8" hidden="1"/>
    <cellStyle name="Collegamento ipertestuale" xfId="141" builtinId="8" hidden="1"/>
    <cellStyle name="Collegamento ipertestuale" xfId="143" builtinId="8" hidden="1"/>
    <cellStyle name="Collegamento ipertestuale" xfId="145" builtinId="8" hidden="1"/>
    <cellStyle name="Collegamento ipertestuale" xfId="147" builtinId="8" hidden="1"/>
    <cellStyle name="Collegamento ipertestuale" xfId="149" builtinId="8" hidden="1"/>
    <cellStyle name="Collegamento ipertestuale visitato" xfId="66" builtinId="9" hidden="1"/>
    <cellStyle name="Collegamento ipertestuale visitato" xfId="58" builtinId="9" hidden="1"/>
    <cellStyle name="Collegamento ipertestuale visitato" xfId="50" builtinId="9" hidden="1"/>
    <cellStyle name="Collegamento ipertestuale visitato" xfId="36" builtinId="9" hidden="1"/>
    <cellStyle name="Collegamento ipertestuale visitato" xfId="18" builtinId="9" hidden="1"/>
    <cellStyle name="Collegamento ipertestuale visitato" xfId="24" builtinId="9" hidden="1"/>
    <cellStyle name="Collegamento ipertestuale visitato" xfId="28" builtinId="9" hidden="1"/>
    <cellStyle name="Collegamento ipertestuale visitato" xfId="32" builtinId="9" hidden="1"/>
    <cellStyle name="Collegamento ipertestuale visitato" xfId="20" builtinId="9" hidden="1"/>
    <cellStyle name="Collegamento ipertestuale visitato" xfId="10" builtinId="9" hidden="1"/>
    <cellStyle name="Collegamento ipertestuale visitato" xfId="14" builtinId="9" hidden="1"/>
    <cellStyle name="Collegamento ipertestuale visitato" xfId="6" builtinId="9" hidden="1"/>
    <cellStyle name="Collegamento ipertestuale visitato" xfId="2" builtinId="9" hidden="1"/>
    <cellStyle name="Collegamento ipertestuale visitato" xfId="4" builtinId="9" hidden="1"/>
    <cellStyle name="Collegamento ipertestuale visitato" xfId="12" builtinId="9" hidden="1"/>
    <cellStyle name="Collegamento ipertestuale visitato" xfId="8" builtinId="9" hidden="1"/>
    <cellStyle name="Collegamento ipertestuale visitato" xfId="34" builtinId="9" hidden="1"/>
    <cellStyle name="Collegamento ipertestuale visitato" xfId="30" builtinId="9" hidden="1"/>
    <cellStyle name="Collegamento ipertestuale visitato" xfId="26" builtinId="9" hidden="1"/>
    <cellStyle name="Collegamento ipertestuale visitato" xfId="22" builtinId="9" hidden="1"/>
    <cellStyle name="Collegamento ipertestuale visitato" xfId="16" builtinId="9" hidden="1"/>
    <cellStyle name="Collegamento ipertestuale visitato" xfId="44" builtinId="9" hidden="1"/>
    <cellStyle name="Collegamento ipertestuale visitato" xfId="54" builtinId="9" hidden="1"/>
    <cellStyle name="Collegamento ipertestuale visitato" xfId="62" builtinId="9" hidden="1"/>
    <cellStyle name="Collegamento ipertestuale visitato" xfId="70" builtinId="9" hidden="1"/>
    <cellStyle name="Collegamento ipertestuale visitato" xfId="90" builtinId="9" hidden="1"/>
    <cellStyle name="Collegamento ipertestuale visitato" xfId="88" builtinId="9" hidden="1"/>
    <cellStyle name="Collegamento ipertestuale visitato" xfId="86" builtinId="9" hidden="1"/>
    <cellStyle name="Collegamento ipertestuale visitato" xfId="82" builtinId="9" hidden="1"/>
    <cellStyle name="Collegamento ipertestuale visitato" xfId="80" builtinId="9" hidden="1"/>
    <cellStyle name="Collegamento ipertestuale visitato" xfId="78" builtinId="9" hidden="1"/>
    <cellStyle name="Collegamento ipertestuale visitato" xfId="40" builtinId="9" hidden="1"/>
    <cellStyle name="Collegamento ipertestuale visitato" xfId="42" builtinId="9" hidden="1"/>
    <cellStyle name="Collegamento ipertestuale visitato" xfId="46" builtinId="9" hidden="1"/>
    <cellStyle name="Collegamento ipertestuale visitato" xfId="49" builtinId="9" hidden="1"/>
    <cellStyle name="Collegamento ipertestuale visitato" xfId="51" builtinId="9" hidden="1"/>
    <cellStyle name="Collegamento ipertestuale visitato" xfId="52" builtinId="9" hidden="1"/>
    <cellStyle name="Collegamento ipertestuale visitato" xfId="55" builtinId="9" hidden="1"/>
    <cellStyle name="Collegamento ipertestuale visitato" xfId="56" builtinId="9" hidden="1"/>
    <cellStyle name="Collegamento ipertestuale visitato" xfId="57" builtinId="9" hidden="1"/>
    <cellStyle name="Collegamento ipertestuale visitato" xfId="60" builtinId="9" hidden="1"/>
    <cellStyle name="Collegamento ipertestuale visitato" xfId="61" builtinId="9" hidden="1"/>
    <cellStyle name="Collegamento ipertestuale visitato" xfId="63" builtinId="9" hidden="1"/>
    <cellStyle name="Collegamento ipertestuale visitato" xfId="65" builtinId="9" hidden="1"/>
    <cellStyle name="Collegamento ipertestuale visitato" xfId="67" builtinId="9" hidden="1"/>
    <cellStyle name="Collegamento ipertestuale visitato" xfId="68" builtinId="9" hidden="1"/>
    <cellStyle name="Collegamento ipertestuale visitato" xfId="71" builtinId="9" hidden="1"/>
    <cellStyle name="Collegamento ipertestuale visitato" xfId="72" builtinId="9" hidden="1"/>
    <cellStyle name="Collegamento ipertestuale visitato" xfId="73" builtinId="9" hidden="1"/>
    <cellStyle name="Collegamento ipertestuale visitato" xfId="76" builtinId="9" hidden="1"/>
    <cellStyle name="Collegamento ipertestuale visitato" xfId="77" builtinId="9" hidden="1"/>
    <cellStyle name="Collegamento ipertestuale visitato" xfId="74" builtinId="9" hidden="1"/>
    <cellStyle name="Collegamento ipertestuale visitato" xfId="75" builtinId="9" hidden="1"/>
    <cellStyle name="Collegamento ipertestuale visitato" xfId="69" builtinId="9" hidden="1"/>
    <cellStyle name="Collegamento ipertestuale visitato" xfId="64" builtinId="9" hidden="1"/>
    <cellStyle name="Collegamento ipertestuale visitato" xfId="59" builtinId="9" hidden="1"/>
    <cellStyle name="Collegamento ipertestuale visitato" xfId="53" builtinId="9" hidden="1"/>
    <cellStyle name="Collegamento ipertestuale visitato" xfId="48" builtinId="9" hidden="1"/>
    <cellStyle name="Collegamento ipertestuale visitato" xfId="38" builtinId="9" hidden="1"/>
    <cellStyle name="Collegamento ipertestuale visitato" xfId="84" builtinId="9" hidden="1"/>
    <cellStyle name="Collegamento ipertestuale visitato" xfId="92" builtinId="9" hidden="1"/>
    <cellStyle name="Collegamento ipertestuale visitato" xfId="93" builtinId="9" hidden="1"/>
    <cellStyle name="Collegamento ipertestuale visitato" xfId="96" builtinId="9" hidden="1"/>
    <cellStyle name="Collegamento ipertestuale visitato" xfId="104" builtinId="9" hidden="1"/>
    <cellStyle name="Collegamento ipertestuale visitato" xfId="108" builtinId="9" hidden="1"/>
    <cellStyle name="Collegamento ipertestuale visitato" xfId="110" builtinId="9" hidden="1"/>
    <cellStyle name="Collegamento ipertestuale visitato" xfId="106" builtinId="9" hidden="1"/>
    <cellStyle name="Collegamento ipertestuale visitato" xfId="102" builtinId="9" hidden="1"/>
    <cellStyle name="Collegamento ipertestuale visitato" xfId="98" builtinId="9" hidden="1"/>
    <cellStyle name="Collegamento ipertestuale visitato" xfId="94" builtinId="9" hidden="1"/>
    <cellStyle name="Collegamento ipertestuale visitato" xfId="100" builtinId="9" hidden="1"/>
    <cellStyle name="Collegamento ipertestuale visitato" xfId="85" builtinId="9" hidden="1"/>
    <cellStyle name="Collegamento ipertestuale visitato" xfId="87" builtinId="9" hidden="1"/>
    <cellStyle name="Collegamento ipertestuale visitato" xfId="89" builtinId="9" hidden="1"/>
    <cellStyle name="Collegamento ipertestuale visitato" xfId="91" builtinId="9" hidden="1"/>
    <cellStyle name="Collegamento ipertestuale visitato" xfId="81" builtinId="9" hidden="1"/>
    <cellStyle name="Collegamento ipertestuale visitato" xfId="83" builtinId="9" hidden="1"/>
    <cellStyle name="Collegamento ipertestuale visitato" xfId="79" builtinId="9" hidden="1"/>
    <cellStyle name="Collegamento ipertestuale visitato" xfId="112" builtinId="9" hidden="1"/>
    <cellStyle name="Collegamento ipertestuale visitato" xfId="114" builtinId="9" hidden="1"/>
    <cellStyle name="Collegamento ipertestuale visitato" xfId="116" builtinId="9" hidden="1"/>
    <cellStyle name="Collegamento ipertestuale visitato" xfId="118" builtinId="9" hidden="1"/>
    <cellStyle name="Collegamento ipertestuale visitato" xfId="120" builtinId="9" hidden="1"/>
    <cellStyle name="Collegamento ipertestuale visitato" xfId="122" builtinId="9" hidden="1"/>
    <cellStyle name="Collegamento ipertestuale visitato" xfId="124" builtinId="9" hidden="1"/>
    <cellStyle name="Collegamento ipertestuale visitato" xfId="126" builtinId="9" hidden="1"/>
    <cellStyle name="Collegamento ipertestuale visitato" xfId="128" builtinId="9" hidden="1"/>
    <cellStyle name="Collegamento ipertestuale visitato" xfId="130" builtinId="9" hidden="1"/>
    <cellStyle name="Collegamento ipertestuale visitato" xfId="132" builtinId="9" hidden="1"/>
    <cellStyle name="Collegamento ipertestuale visitato" xfId="134" builtinId="9" hidden="1"/>
    <cellStyle name="Collegamento ipertestuale visitato" xfId="136" builtinId="9" hidden="1"/>
    <cellStyle name="Collegamento ipertestuale visitato" xfId="138" builtinId="9" hidden="1"/>
    <cellStyle name="Collegamento ipertestuale visitato" xfId="140" builtinId="9" hidden="1"/>
    <cellStyle name="Collegamento ipertestuale visitato" xfId="142" builtinId="9" hidden="1"/>
    <cellStyle name="Collegamento ipertestuale visitato" xfId="144" builtinId="9" hidden="1"/>
    <cellStyle name="Collegamento ipertestuale visitato" xfId="146" builtinId="9" hidden="1"/>
    <cellStyle name="Collegamento ipertestuale visitato" xfId="148" builtinId="9" hidden="1"/>
    <cellStyle name="Collegamento ipertestuale visitato" xfId="150" builtinId="9" hidden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7"/>
  <sheetViews>
    <sheetView zoomScaleNormal="120" zoomScalePageLayoutView="120" workbookViewId="0">
      <pane ySplit="2" topLeftCell="A3" activePane="bottomLeft" state="frozen"/>
      <selection pane="bottomLeft" activeCell="Z19" sqref="Z19"/>
    </sheetView>
  </sheetViews>
  <sheetFormatPr baseColWidth="10" defaultColWidth="8.6640625" defaultRowHeight="15" x14ac:dyDescent="0.2"/>
  <cols>
    <col min="2" max="3" width="8.6640625" style="1"/>
    <col min="4" max="4" width="10.33203125" style="1" bestFit="1" customWidth="1"/>
    <col min="5" max="6" width="13.6640625" style="1" customWidth="1"/>
    <col min="7" max="7" width="16.6640625" style="1" bestFit="1" customWidth="1"/>
    <col min="8" max="10" width="17.33203125" style="1" customWidth="1"/>
    <col min="11" max="12" width="12.1640625" style="1" customWidth="1"/>
    <col min="13" max="13" width="16.5" style="1" customWidth="1"/>
    <col min="14" max="17" width="13.6640625" style="1" customWidth="1"/>
    <col min="18" max="18" width="12.5" style="1" customWidth="1"/>
    <col min="19" max="19" width="19" style="1" customWidth="1"/>
    <col min="20" max="20" width="12.1640625" style="1" customWidth="1"/>
    <col min="21" max="21" width="13.6640625" style="1" customWidth="1"/>
    <col min="22" max="22" width="16" style="1" bestFit="1" customWidth="1"/>
    <col min="23" max="23" width="19.6640625" style="1" customWidth="1"/>
    <col min="24" max="24" width="14.6640625" style="1" bestFit="1" customWidth="1"/>
    <col min="25" max="25" width="12.1640625" style="1" customWidth="1"/>
    <col min="26" max="26" width="17.33203125" style="1" customWidth="1"/>
    <col min="27" max="27" width="12.1640625" style="1" bestFit="1" customWidth="1"/>
    <col min="28" max="29" width="12.1640625" style="1" customWidth="1"/>
    <col min="30" max="30" width="17.33203125" style="1" customWidth="1"/>
    <col min="31" max="31" width="14.6640625" style="1" customWidth="1"/>
    <col min="32" max="32" width="13.6640625" style="1" bestFit="1" customWidth="1"/>
    <col min="33" max="34" width="13.6640625" style="1" customWidth="1"/>
    <col min="35" max="35" width="17.33203125" style="1" customWidth="1"/>
    <col min="36" max="38" width="13.6640625" style="1" customWidth="1"/>
    <col min="39" max="39" width="18.6640625" customWidth="1"/>
    <col min="40" max="40" width="10.83203125" bestFit="1" customWidth="1"/>
    <col min="41" max="41" width="17.1640625" customWidth="1"/>
    <col min="42" max="42" width="19.1640625" bestFit="1" customWidth="1"/>
    <col min="43" max="43" width="11.6640625" bestFit="1" customWidth="1"/>
    <col min="44" max="44" width="8.6640625" style="1"/>
    <col min="45" max="48" width="17" style="1" customWidth="1"/>
    <col min="49" max="49" width="25.33203125" bestFit="1" customWidth="1"/>
    <col min="50" max="50" width="22.1640625" bestFit="1" customWidth="1"/>
    <col min="51" max="51" width="33.1640625" bestFit="1" customWidth="1"/>
    <col min="57" max="57" width="9.6640625" customWidth="1"/>
  </cols>
  <sheetData>
    <row r="1" spans="1:57" x14ac:dyDescent="0.2">
      <c r="D1" s="1" t="s">
        <v>101</v>
      </c>
      <c r="E1" s="1" t="s">
        <v>101</v>
      </c>
      <c r="F1" s="1" t="s">
        <v>101</v>
      </c>
      <c r="G1" s="1" t="s">
        <v>99</v>
      </c>
      <c r="H1" s="1" t="s">
        <v>99</v>
      </c>
      <c r="I1" s="1" t="s">
        <v>99</v>
      </c>
      <c r="J1" s="1" t="s">
        <v>99</v>
      </c>
      <c r="K1" s="1" t="s">
        <v>99</v>
      </c>
      <c r="L1" s="1" t="s">
        <v>99</v>
      </c>
      <c r="M1" s="1" t="s">
        <v>99</v>
      </c>
      <c r="N1" s="1" t="s">
        <v>99</v>
      </c>
      <c r="O1" s="1" t="s">
        <v>99</v>
      </c>
      <c r="P1" s="1" t="s">
        <v>99</v>
      </c>
      <c r="Q1" s="1" t="s">
        <v>99</v>
      </c>
      <c r="R1" s="1" t="s">
        <v>102</v>
      </c>
      <c r="S1" s="1" t="s">
        <v>102</v>
      </c>
      <c r="T1" s="1" t="s">
        <v>102</v>
      </c>
      <c r="U1" s="1" t="s">
        <v>102</v>
      </c>
      <c r="AD1" s="1" t="s">
        <v>78</v>
      </c>
      <c r="AE1" s="1" t="s">
        <v>117</v>
      </c>
      <c r="AF1" s="1" t="s">
        <v>118</v>
      </c>
      <c r="AG1" s="1" t="s">
        <v>118</v>
      </c>
      <c r="AH1" s="1" t="s">
        <v>118</v>
      </c>
      <c r="AI1" s="1" t="s">
        <v>118</v>
      </c>
      <c r="AJ1" s="1" t="s">
        <v>123</v>
      </c>
      <c r="AK1" s="1" t="s">
        <v>123</v>
      </c>
      <c r="AL1" s="1" t="s">
        <v>120</v>
      </c>
    </row>
    <row r="2" spans="1:57" x14ac:dyDescent="0.2">
      <c r="A2" t="s">
        <v>98</v>
      </c>
      <c r="B2" s="1" t="s">
        <v>0</v>
      </c>
      <c r="C2" s="1" t="s">
        <v>17</v>
      </c>
      <c r="D2" s="2" t="s">
        <v>100</v>
      </c>
      <c r="E2" s="18" t="s">
        <v>69</v>
      </c>
      <c r="F2" s="18" t="s">
        <v>74</v>
      </c>
      <c r="G2" s="1" t="s">
        <v>1</v>
      </c>
      <c r="H2" s="2" t="s">
        <v>57</v>
      </c>
      <c r="I2" s="2" t="s">
        <v>89</v>
      </c>
      <c r="J2" s="2" t="s">
        <v>48</v>
      </c>
      <c r="K2" s="18" t="s">
        <v>105</v>
      </c>
      <c r="L2" s="1" t="s">
        <v>42</v>
      </c>
      <c r="M2" s="19" t="s">
        <v>111</v>
      </c>
      <c r="N2" s="1" t="s">
        <v>113</v>
      </c>
      <c r="O2" s="1" t="s">
        <v>114</v>
      </c>
      <c r="P2" s="18" t="s">
        <v>67</v>
      </c>
      <c r="Q2" s="18" t="s">
        <v>68</v>
      </c>
      <c r="R2" s="18" t="s">
        <v>103</v>
      </c>
      <c r="S2" s="18" t="s">
        <v>104</v>
      </c>
      <c r="T2" s="18" t="s">
        <v>2</v>
      </c>
      <c r="U2" s="1" t="s">
        <v>112</v>
      </c>
      <c r="V2" s="1" t="s">
        <v>5</v>
      </c>
      <c r="W2" s="2" t="s">
        <v>3</v>
      </c>
      <c r="X2" s="1" t="s">
        <v>106</v>
      </c>
      <c r="Y2" s="4" t="s">
        <v>4</v>
      </c>
      <c r="Z2" s="2" t="s">
        <v>77</v>
      </c>
      <c r="AA2" s="1" t="s">
        <v>6</v>
      </c>
      <c r="AB2" s="1" t="s">
        <v>115</v>
      </c>
      <c r="AD2" s="2" t="s">
        <v>86</v>
      </c>
      <c r="AE2" s="3" t="s">
        <v>116</v>
      </c>
      <c r="AF2" s="2" t="s">
        <v>52</v>
      </c>
      <c r="AG2" s="1" t="s">
        <v>119</v>
      </c>
      <c r="AH2" s="1" t="s">
        <v>122</v>
      </c>
      <c r="AI2" s="2" t="s">
        <v>76</v>
      </c>
      <c r="AJ2" s="1" t="s">
        <v>124</v>
      </c>
      <c r="AK2" s="1" t="s">
        <v>125</v>
      </c>
      <c r="AL2" s="1" t="s">
        <v>121</v>
      </c>
      <c r="AO2" s="2"/>
      <c r="AW2" s="1" t="s">
        <v>26</v>
      </c>
      <c r="AX2" s="2" t="s">
        <v>7</v>
      </c>
      <c r="AY2" s="1" t="s">
        <v>27</v>
      </c>
      <c r="AZ2" s="1" t="s">
        <v>28</v>
      </c>
      <c r="BA2" s="1" t="s">
        <v>29</v>
      </c>
      <c r="BB2" s="1" t="s">
        <v>18</v>
      </c>
      <c r="BC2" s="1" t="s">
        <v>20</v>
      </c>
      <c r="BD2" s="2" t="s">
        <v>19</v>
      </c>
      <c r="BE2" s="12" t="s">
        <v>21</v>
      </c>
    </row>
    <row r="3" spans="1:57" x14ac:dyDescent="0.2">
      <c r="A3" t="s">
        <v>39</v>
      </c>
      <c r="B3" s="1">
        <v>1</v>
      </c>
      <c r="C3" s="1">
        <v>1</v>
      </c>
      <c r="D3" s="4">
        <v>20</v>
      </c>
      <c r="E3" s="4">
        <v>0</v>
      </c>
      <c r="F3" s="4">
        <v>0</v>
      </c>
      <c r="G3" s="4">
        <v>30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14</v>
      </c>
      <c r="S3" s="4">
        <v>0</v>
      </c>
      <c r="T3" s="4">
        <v>0</v>
      </c>
      <c r="U3" s="4">
        <v>0</v>
      </c>
      <c r="V3" s="4">
        <v>0</v>
      </c>
      <c r="W3" s="4">
        <v>12</v>
      </c>
      <c r="X3" s="4">
        <v>0</v>
      </c>
      <c r="Y3" s="1">
        <v>0</v>
      </c>
      <c r="Z3" s="4">
        <v>0</v>
      </c>
      <c r="AA3" s="4">
        <v>25</v>
      </c>
      <c r="AB3" s="4">
        <f t="shared" ref="AB3:AB34" si="0">SUM(D3:AA3)</f>
        <v>101</v>
      </c>
      <c r="AC3" s="4"/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1"/>
      <c r="AX3" s="1"/>
      <c r="AY3" s="1"/>
      <c r="AZ3" s="1"/>
    </row>
    <row r="4" spans="1:57" x14ac:dyDescent="0.2">
      <c r="A4" t="s">
        <v>39</v>
      </c>
      <c r="B4" s="1">
        <v>1</v>
      </c>
      <c r="C4" s="1">
        <v>2</v>
      </c>
      <c r="D4" s="4">
        <v>50</v>
      </c>
      <c r="E4" s="4">
        <v>0</v>
      </c>
      <c r="F4" s="4">
        <v>0</v>
      </c>
      <c r="G4" s="4">
        <v>10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15</v>
      </c>
      <c r="S4" s="4">
        <v>0</v>
      </c>
      <c r="T4" s="4">
        <v>0</v>
      </c>
      <c r="U4" s="4">
        <v>0</v>
      </c>
      <c r="V4" s="4">
        <v>20</v>
      </c>
      <c r="W4" s="4">
        <v>12</v>
      </c>
      <c r="X4" s="4">
        <v>0</v>
      </c>
      <c r="Y4" s="1">
        <v>0</v>
      </c>
      <c r="Z4" s="4">
        <v>0</v>
      </c>
      <c r="AA4" s="4">
        <v>10</v>
      </c>
      <c r="AB4" s="4">
        <f t="shared" si="0"/>
        <v>117</v>
      </c>
      <c r="AC4" s="4"/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1"/>
      <c r="AX4" s="1"/>
      <c r="AY4" s="1"/>
      <c r="AZ4" s="1"/>
    </row>
    <row r="5" spans="1:57" x14ac:dyDescent="0.2">
      <c r="A5" t="s">
        <v>40</v>
      </c>
      <c r="B5" s="1">
        <v>1</v>
      </c>
      <c r="C5" s="1">
        <v>3</v>
      </c>
      <c r="D5" s="4">
        <v>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4</v>
      </c>
      <c r="S5" s="4">
        <v>0</v>
      </c>
      <c r="T5" s="4">
        <v>0</v>
      </c>
      <c r="U5" s="4">
        <v>0</v>
      </c>
      <c r="V5" s="4">
        <v>0</v>
      </c>
      <c r="W5" s="4">
        <v>85</v>
      </c>
      <c r="X5" s="4">
        <v>8</v>
      </c>
      <c r="Y5" s="1">
        <v>0</v>
      </c>
      <c r="Z5" s="4">
        <v>0</v>
      </c>
      <c r="AA5" s="4">
        <v>10</v>
      </c>
      <c r="AB5" s="4">
        <f t="shared" si="0"/>
        <v>110</v>
      </c>
      <c r="AC5" s="4"/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1"/>
      <c r="AX5" s="1"/>
      <c r="AY5" s="1"/>
      <c r="AZ5" s="1"/>
    </row>
    <row r="6" spans="1:57" x14ac:dyDescent="0.2">
      <c r="A6" t="s">
        <v>40</v>
      </c>
      <c r="B6" s="1">
        <v>1</v>
      </c>
      <c r="C6" s="1">
        <v>4</v>
      </c>
      <c r="D6" s="4">
        <v>5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0</v>
      </c>
      <c r="R6" s="4">
        <v>5</v>
      </c>
      <c r="S6" s="4">
        <v>0</v>
      </c>
      <c r="T6" s="4">
        <v>0</v>
      </c>
      <c r="U6" s="4">
        <v>0</v>
      </c>
      <c r="V6" s="4">
        <v>0</v>
      </c>
      <c r="W6" s="4">
        <v>90</v>
      </c>
      <c r="X6" s="4">
        <v>0</v>
      </c>
      <c r="Y6" s="1">
        <v>0</v>
      </c>
      <c r="Z6" s="4">
        <v>0</v>
      </c>
      <c r="AA6" s="4">
        <v>9</v>
      </c>
      <c r="AB6" s="4">
        <f t="shared" si="0"/>
        <v>110</v>
      </c>
      <c r="AC6" s="4"/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</v>
      </c>
      <c r="AJ6" s="4">
        <v>0</v>
      </c>
      <c r="AK6" s="4">
        <v>0</v>
      </c>
      <c r="AL6" s="4">
        <v>0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1"/>
      <c r="AX6" s="1"/>
      <c r="AY6" s="1"/>
      <c r="AZ6" s="1"/>
    </row>
    <row r="7" spans="1:57" x14ac:dyDescent="0.2">
      <c r="A7" t="s">
        <v>41</v>
      </c>
      <c r="B7" s="1">
        <v>1</v>
      </c>
      <c r="C7" s="1">
        <v>5</v>
      </c>
      <c r="D7" s="4">
        <v>8</v>
      </c>
      <c r="E7" s="4">
        <v>0</v>
      </c>
      <c r="F7" s="4">
        <v>0</v>
      </c>
      <c r="G7" s="4">
        <v>0</v>
      </c>
      <c r="H7" s="4">
        <v>0</v>
      </c>
      <c r="I7" s="4">
        <v>3</v>
      </c>
      <c r="J7" s="4">
        <v>3</v>
      </c>
      <c r="K7" s="4">
        <v>0</v>
      </c>
      <c r="L7" s="4">
        <v>3</v>
      </c>
      <c r="M7" s="1">
        <v>0</v>
      </c>
      <c r="N7" s="4">
        <v>0</v>
      </c>
      <c r="O7" s="4">
        <v>0</v>
      </c>
      <c r="P7" s="4">
        <v>0</v>
      </c>
      <c r="Q7" s="4">
        <v>0</v>
      </c>
      <c r="R7" s="4">
        <v>7</v>
      </c>
      <c r="S7" s="4">
        <v>4</v>
      </c>
      <c r="T7" s="4">
        <v>2</v>
      </c>
      <c r="U7" s="4">
        <v>0</v>
      </c>
      <c r="V7" s="4">
        <v>2</v>
      </c>
      <c r="W7" s="4">
        <v>71</v>
      </c>
      <c r="X7" s="4">
        <v>0</v>
      </c>
      <c r="Y7" s="1">
        <v>0</v>
      </c>
      <c r="Z7" s="4">
        <v>0</v>
      </c>
      <c r="AA7" s="4">
        <v>0</v>
      </c>
      <c r="AB7" s="4">
        <f t="shared" si="0"/>
        <v>103</v>
      </c>
      <c r="AC7" s="4"/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1"/>
      <c r="AX7" s="1"/>
      <c r="AY7" s="1"/>
      <c r="AZ7" s="1"/>
    </row>
    <row r="8" spans="1:57" x14ac:dyDescent="0.2">
      <c r="A8" t="s">
        <v>43</v>
      </c>
      <c r="B8" s="1">
        <v>1</v>
      </c>
      <c r="C8" s="1">
        <v>6</v>
      </c>
      <c r="D8" s="4">
        <v>8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">
        <v>0</v>
      </c>
      <c r="N8" s="4">
        <v>0</v>
      </c>
      <c r="O8" s="4">
        <v>0</v>
      </c>
      <c r="P8" s="4">
        <v>0</v>
      </c>
      <c r="Q8" s="4">
        <v>0</v>
      </c>
      <c r="R8" s="4">
        <v>6</v>
      </c>
      <c r="S8" s="4">
        <v>0</v>
      </c>
      <c r="T8" s="4">
        <v>0</v>
      </c>
      <c r="U8" s="4">
        <v>0</v>
      </c>
      <c r="V8" s="4">
        <v>0</v>
      </c>
      <c r="W8" s="4">
        <v>50</v>
      </c>
      <c r="X8" s="4">
        <v>52</v>
      </c>
      <c r="Y8" s="1">
        <v>0</v>
      </c>
      <c r="Z8" s="4">
        <v>0</v>
      </c>
      <c r="AA8" s="4">
        <v>0</v>
      </c>
      <c r="AB8" s="4">
        <f t="shared" si="0"/>
        <v>117</v>
      </c>
      <c r="AC8" s="4"/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1"/>
      <c r="AX8" s="1" t="s">
        <v>8</v>
      </c>
      <c r="AY8" s="1"/>
      <c r="AZ8" s="1"/>
    </row>
    <row r="9" spans="1:57" x14ac:dyDescent="0.2">
      <c r="A9" t="s">
        <v>43</v>
      </c>
      <c r="B9" s="1">
        <v>1</v>
      </c>
      <c r="C9" s="1">
        <v>7</v>
      </c>
      <c r="D9" s="4">
        <v>20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7</v>
      </c>
      <c r="M9" s="1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40</v>
      </c>
      <c r="X9" s="4">
        <v>50</v>
      </c>
      <c r="Y9" s="1">
        <v>0</v>
      </c>
      <c r="Z9" s="4">
        <v>9</v>
      </c>
      <c r="AA9" s="4">
        <v>0</v>
      </c>
      <c r="AB9" s="4">
        <f t="shared" si="0"/>
        <v>126</v>
      </c>
      <c r="AC9" s="4"/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1"/>
      <c r="AX9" s="1"/>
      <c r="AY9" s="1"/>
      <c r="AZ9" s="1"/>
    </row>
    <row r="10" spans="1:57" x14ac:dyDescent="0.2">
      <c r="A10" t="s">
        <v>44</v>
      </c>
      <c r="B10" s="1">
        <v>1</v>
      </c>
      <c r="C10" s="1">
        <v>8</v>
      </c>
      <c r="D10" s="4">
        <v>10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</v>
      </c>
      <c r="M10" s="1">
        <v>0</v>
      </c>
      <c r="N10" s="4">
        <v>0</v>
      </c>
      <c r="O10" s="4">
        <v>0</v>
      </c>
      <c r="P10" s="4">
        <v>0</v>
      </c>
      <c r="Q10" s="4">
        <v>0</v>
      </c>
      <c r="R10" s="4">
        <v>4</v>
      </c>
      <c r="S10" s="4">
        <v>0</v>
      </c>
      <c r="T10" s="4">
        <v>0</v>
      </c>
      <c r="U10" s="4">
        <v>0</v>
      </c>
      <c r="V10" s="4">
        <v>0</v>
      </c>
      <c r="W10" s="4">
        <v>45</v>
      </c>
      <c r="X10" s="4">
        <v>52</v>
      </c>
      <c r="Y10" s="1">
        <v>0</v>
      </c>
      <c r="Z10" s="4">
        <v>0</v>
      </c>
      <c r="AA10" s="4">
        <v>0</v>
      </c>
      <c r="AB10" s="4">
        <f t="shared" si="0"/>
        <v>113</v>
      </c>
      <c r="AC10" s="4"/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1"/>
      <c r="AX10" s="1"/>
      <c r="AY10" s="1"/>
      <c r="AZ10" s="1"/>
    </row>
    <row r="11" spans="1:57" x14ac:dyDescent="0.2">
      <c r="A11" t="s">
        <v>44</v>
      </c>
      <c r="B11" s="1">
        <v>1</v>
      </c>
      <c r="C11" s="1">
        <v>9</v>
      </c>
      <c r="D11" s="4">
        <v>10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5</v>
      </c>
      <c r="M11" s="1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6</v>
      </c>
      <c r="W11" s="4">
        <v>42</v>
      </c>
      <c r="X11" s="4">
        <v>31</v>
      </c>
      <c r="Y11" s="1">
        <v>0</v>
      </c>
      <c r="Z11" s="4">
        <v>25</v>
      </c>
      <c r="AA11" s="4">
        <v>0</v>
      </c>
      <c r="AB11" s="4">
        <f t="shared" si="0"/>
        <v>119</v>
      </c>
      <c r="AC11" s="4"/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1"/>
      <c r="AX11" s="1" t="s">
        <v>9</v>
      </c>
      <c r="AY11" s="1"/>
      <c r="AZ11" s="1"/>
    </row>
    <row r="12" spans="1:57" x14ac:dyDescent="0.2">
      <c r="A12" t="s">
        <v>45</v>
      </c>
      <c r="B12" s="1">
        <v>1</v>
      </c>
      <c r="C12" s="1">
        <v>10</v>
      </c>
      <c r="D12" s="4">
        <v>10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20</v>
      </c>
      <c r="K12" s="4">
        <v>0</v>
      </c>
      <c r="L12" s="4">
        <v>0</v>
      </c>
      <c r="M12" s="1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50</v>
      </c>
      <c r="X12" s="4">
        <v>0</v>
      </c>
      <c r="Y12" s="1">
        <v>0</v>
      </c>
      <c r="Z12" s="4">
        <v>0</v>
      </c>
      <c r="AA12" s="4">
        <v>20</v>
      </c>
      <c r="AB12" s="4">
        <f t="shared" si="0"/>
        <v>100</v>
      </c>
      <c r="AC12" s="4"/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/>
      <c r="AN12" s="4"/>
      <c r="AO12" s="5"/>
      <c r="AP12" s="4"/>
      <c r="AQ12" s="4"/>
      <c r="AR12" s="4"/>
      <c r="AS12" s="4"/>
      <c r="AT12" s="4"/>
      <c r="AU12" s="4"/>
      <c r="AV12" s="4"/>
      <c r="AW12" s="1"/>
      <c r="AX12" s="1"/>
      <c r="AY12" s="1"/>
      <c r="AZ12" s="1"/>
    </row>
    <row r="13" spans="1:57" x14ac:dyDescent="0.2">
      <c r="A13" t="s">
        <v>46</v>
      </c>
      <c r="B13" s="1">
        <v>1</v>
      </c>
      <c r="C13" s="1">
        <v>11</v>
      </c>
      <c r="D13" s="4">
        <v>50</v>
      </c>
      <c r="E13" s="4">
        <v>0</v>
      </c>
      <c r="F13" s="4">
        <v>0</v>
      </c>
      <c r="G13" s="4">
        <v>5</v>
      </c>
      <c r="H13" s="4">
        <v>0</v>
      </c>
      <c r="I13" s="4">
        <v>0</v>
      </c>
      <c r="J13" s="4">
        <v>10</v>
      </c>
      <c r="K13" s="4">
        <v>0</v>
      </c>
      <c r="L13" s="4">
        <v>7</v>
      </c>
      <c r="M13" s="1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30</v>
      </c>
      <c r="X13" s="4">
        <v>0</v>
      </c>
      <c r="Y13" s="1">
        <v>0</v>
      </c>
      <c r="Z13" s="4">
        <v>0</v>
      </c>
      <c r="AA13" s="4">
        <v>0</v>
      </c>
      <c r="AB13" s="4">
        <f t="shared" si="0"/>
        <v>102</v>
      </c>
      <c r="AC13" s="4"/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/>
      <c r="AN13" s="4"/>
      <c r="AO13" s="5"/>
      <c r="AP13" s="4"/>
      <c r="AQ13" s="4"/>
      <c r="AR13" s="4"/>
      <c r="AS13" s="4"/>
      <c r="AT13" s="4"/>
      <c r="AU13" s="4"/>
      <c r="AV13" s="4"/>
      <c r="AW13" s="1"/>
      <c r="AX13" s="1"/>
      <c r="AY13" s="1"/>
      <c r="AZ13" s="1"/>
    </row>
    <row r="14" spans="1:57" x14ac:dyDescent="0.2">
      <c r="A14" t="s">
        <v>47</v>
      </c>
      <c r="B14" s="1">
        <v>1</v>
      </c>
      <c r="C14" s="1">
        <v>12</v>
      </c>
      <c r="D14" s="4">
        <v>38</v>
      </c>
      <c r="E14" s="4">
        <v>0</v>
      </c>
      <c r="F14" s="4">
        <v>0</v>
      </c>
      <c r="G14" s="4">
        <v>5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1">
        <v>0</v>
      </c>
      <c r="N14" s="4">
        <v>0</v>
      </c>
      <c r="O14" s="4">
        <v>0</v>
      </c>
      <c r="P14" s="4">
        <v>0</v>
      </c>
      <c r="Q14" s="4">
        <v>0</v>
      </c>
      <c r="R14" s="4">
        <v>7</v>
      </c>
      <c r="S14" s="4">
        <v>0</v>
      </c>
      <c r="T14" s="4">
        <v>0</v>
      </c>
      <c r="U14" s="4">
        <v>0</v>
      </c>
      <c r="V14" s="4">
        <v>7</v>
      </c>
      <c r="W14" s="4">
        <v>50</v>
      </c>
      <c r="X14" s="4">
        <v>0</v>
      </c>
      <c r="Y14" s="1">
        <v>0</v>
      </c>
      <c r="Z14" s="4">
        <v>0</v>
      </c>
      <c r="AA14" s="4">
        <v>0</v>
      </c>
      <c r="AB14" s="4">
        <f t="shared" si="0"/>
        <v>107</v>
      </c>
      <c r="AC14" s="4"/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/>
      <c r="AN14" s="4"/>
      <c r="AO14" s="5"/>
      <c r="AP14" s="4"/>
      <c r="AQ14" s="4"/>
      <c r="AR14" s="4"/>
      <c r="AS14" s="4"/>
      <c r="AT14" s="4"/>
      <c r="AU14" s="4"/>
      <c r="AV14" s="4"/>
      <c r="AW14" s="1"/>
      <c r="AX14" s="1"/>
      <c r="AY14" s="1"/>
      <c r="AZ14" s="1"/>
    </row>
    <row r="15" spans="1:57" x14ac:dyDescent="0.2">
      <c r="A15" t="s">
        <v>51</v>
      </c>
      <c r="B15" s="1">
        <v>1</v>
      </c>
      <c r="C15" s="1">
        <v>13</v>
      </c>
      <c r="D15" s="4">
        <v>6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2</v>
      </c>
      <c r="M15" s="4">
        <v>3</v>
      </c>
      <c r="N15" s="4">
        <v>0</v>
      </c>
      <c r="O15" s="4">
        <v>0</v>
      </c>
      <c r="P15" s="4">
        <v>0</v>
      </c>
      <c r="Q15" s="4">
        <v>0</v>
      </c>
      <c r="R15" s="4">
        <v>10</v>
      </c>
      <c r="S15" s="4">
        <v>0</v>
      </c>
      <c r="T15" s="4">
        <v>0</v>
      </c>
      <c r="U15" s="4">
        <v>0</v>
      </c>
      <c r="V15" s="4">
        <v>2</v>
      </c>
      <c r="W15" s="4">
        <v>80</v>
      </c>
      <c r="X15" s="4">
        <v>0</v>
      </c>
      <c r="Y15" s="1">
        <v>0</v>
      </c>
      <c r="Z15" s="4">
        <v>2</v>
      </c>
      <c r="AA15" s="4">
        <v>0</v>
      </c>
      <c r="AB15" s="4">
        <f t="shared" si="0"/>
        <v>105</v>
      </c>
      <c r="AC15" s="4"/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/>
      <c r="AN15" s="4"/>
      <c r="AO15" s="5"/>
      <c r="AP15" s="4"/>
      <c r="AQ15" s="4"/>
      <c r="AR15" s="4"/>
      <c r="AS15" s="4"/>
      <c r="AT15" s="4"/>
      <c r="AU15" s="4"/>
      <c r="AV15" s="4"/>
      <c r="AW15" s="1"/>
      <c r="AX15" s="1"/>
      <c r="AY15" s="1"/>
      <c r="AZ15" s="1"/>
    </row>
    <row r="16" spans="1:57" x14ac:dyDescent="0.2">
      <c r="A16" t="s">
        <v>49</v>
      </c>
      <c r="B16" s="1">
        <v>1</v>
      </c>
      <c r="C16" s="1">
        <v>14</v>
      </c>
      <c r="D16" s="4">
        <v>5</v>
      </c>
      <c r="E16" s="4">
        <v>0</v>
      </c>
      <c r="F16" s="4">
        <v>0</v>
      </c>
      <c r="G16" s="4">
        <v>0</v>
      </c>
      <c r="H16" s="4">
        <v>0</v>
      </c>
      <c r="I16" s="4">
        <v>3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20</v>
      </c>
      <c r="S16" s="4">
        <v>0</v>
      </c>
      <c r="T16" s="4">
        <v>0</v>
      </c>
      <c r="U16" s="4">
        <v>0</v>
      </c>
      <c r="V16" s="4">
        <v>0</v>
      </c>
      <c r="W16" s="4">
        <v>50</v>
      </c>
      <c r="X16" s="4">
        <v>0</v>
      </c>
      <c r="Y16" s="1">
        <v>0</v>
      </c>
      <c r="Z16" s="4">
        <v>0</v>
      </c>
      <c r="AA16" s="4">
        <v>25</v>
      </c>
      <c r="AB16" s="4">
        <f t="shared" si="0"/>
        <v>103</v>
      </c>
      <c r="AC16" s="4"/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1"/>
      <c r="AX16" s="1"/>
      <c r="AY16" s="1"/>
      <c r="AZ16" s="1"/>
    </row>
    <row r="17" spans="1:54" x14ac:dyDescent="0.2">
      <c r="A17" t="s">
        <v>53</v>
      </c>
      <c r="B17" s="1">
        <v>1</v>
      </c>
      <c r="C17" s="1">
        <v>15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4</v>
      </c>
      <c r="S17" s="4">
        <v>0</v>
      </c>
      <c r="T17" s="4">
        <v>0</v>
      </c>
      <c r="U17" s="4">
        <v>0</v>
      </c>
      <c r="V17" s="4">
        <v>0</v>
      </c>
      <c r="W17" s="4">
        <v>92</v>
      </c>
      <c r="X17" s="4">
        <v>7</v>
      </c>
      <c r="Y17" s="1">
        <v>0</v>
      </c>
      <c r="Z17" s="4">
        <v>0</v>
      </c>
      <c r="AA17" s="4">
        <v>10</v>
      </c>
      <c r="AB17" s="4">
        <f t="shared" si="0"/>
        <v>118</v>
      </c>
      <c r="AC17" s="4"/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/>
      <c r="AN17" s="4"/>
      <c r="AO17" s="5"/>
      <c r="AP17" s="4"/>
      <c r="AQ17" s="4"/>
      <c r="AR17" s="4"/>
      <c r="AS17" s="4"/>
      <c r="AT17" s="4"/>
      <c r="AU17" s="4"/>
      <c r="AV17" s="4"/>
      <c r="AW17" s="1"/>
      <c r="AX17" s="1"/>
      <c r="AY17" s="1"/>
      <c r="AZ17" s="1"/>
    </row>
    <row r="18" spans="1:54" s="10" customFormat="1" x14ac:dyDescent="0.2">
      <c r="A18" s="10" t="s">
        <v>53</v>
      </c>
      <c r="B18" s="7">
        <v>1</v>
      </c>
      <c r="C18" s="1">
        <v>16</v>
      </c>
      <c r="D18" s="8">
        <v>3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8">
        <v>1</v>
      </c>
      <c r="N18" s="4">
        <v>0</v>
      </c>
      <c r="O18" s="4">
        <v>0</v>
      </c>
      <c r="P18" s="4">
        <v>0</v>
      </c>
      <c r="Q18" s="4">
        <v>0</v>
      </c>
      <c r="R18" s="8">
        <v>8</v>
      </c>
      <c r="S18" s="4">
        <v>0</v>
      </c>
      <c r="T18" s="4">
        <v>0</v>
      </c>
      <c r="U18" s="4">
        <v>0</v>
      </c>
      <c r="V18" s="4">
        <v>0</v>
      </c>
      <c r="W18" s="8">
        <v>97</v>
      </c>
      <c r="X18" s="8">
        <v>2</v>
      </c>
      <c r="Y18" s="1">
        <v>0</v>
      </c>
      <c r="Z18" s="4">
        <v>0</v>
      </c>
      <c r="AA18" s="8">
        <v>1</v>
      </c>
      <c r="AB18" s="4">
        <f t="shared" si="0"/>
        <v>112</v>
      </c>
      <c r="AC18" s="8"/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8">
        <v>1</v>
      </c>
      <c r="AJ18" s="4">
        <v>0</v>
      </c>
      <c r="AK18" s="4">
        <v>0</v>
      </c>
      <c r="AL18" s="4">
        <v>0</v>
      </c>
      <c r="AM18" s="8"/>
      <c r="AN18" s="8"/>
      <c r="AO18" s="9"/>
      <c r="AP18" s="9"/>
      <c r="AQ18" s="8"/>
      <c r="AR18" s="8"/>
      <c r="AS18" s="8"/>
      <c r="AT18" s="8"/>
      <c r="AU18" s="8"/>
      <c r="AV18" s="8"/>
      <c r="AW18" s="7"/>
      <c r="AX18" s="7" t="s">
        <v>9</v>
      </c>
      <c r="AY18" s="7"/>
      <c r="AZ18" s="7"/>
      <c r="BB18" s="11"/>
    </row>
    <row r="19" spans="1:54" x14ac:dyDescent="0.2">
      <c r="A19" s="10" t="s">
        <v>54</v>
      </c>
      <c r="B19" s="1">
        <v>1</v>
      </c>
      <c r="C19" s="1">
        <v>17</v>
      </c>
      <c r="D19" s="4">
        <v>35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22</v>
      </c>
      <c r="S19" s="4">
        <v>0</v>
      </c>
      <c r="T19" s="4">
        <v>0</v>
      </c>
      <c r="U19" s="4">
        <v>0</v>
      </c>
      <c r="V19" s="4">
        <v>0</v>
      </c>
      <c r="W19" s="4">
        <v>90</v>
      </c>
      <c r="X19" s="4">
        <v>0</v>
      </c>
      <c r="Y19" s="1">
        <v>0</v>
      </c>
      <c r="Z19" s="4">
        <v>0</v>
      </c>
      <c r="AA19" s="4">
        <v>0</v>
      </c>
      <c r="AB19" s="4">
        <f t="shared" si="0"/>
        <v>147</v>
      </c>
      <c r="AC19" s="4"/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/>
      <c r="AN19" s="5"/>
      <c r="AO19" s="5"/>
      <c r="AP19" s="5"/>
      <c r="AQ19" s="4"/>
      <c r="AR19" s="4"/>
      <c r="AS19" s="4"/>
      <c r="AT19" s="4"/>
      <c r="AU19" s="4"/>
      <c r="AV19" s="4"/>
      <c r="AW19" s="1"/>
      <c r="AX19" s="1"/>
      <c r="AY19" s="1"/>
      <c r="AZ19" s="1"/>
      <c r="BA19" t="s">
        <v>8</v>
      </c>
    </row>
    <row r="20" spans="1:54" x14ac:dyDescent="0.2">
      <c r="A20" s="10" t="s">
        <v>54</v>
      </c>
      <c r="B20" s="1">
        <v>1</v>
      </c>
      <c r="C20" s="1">
        <v>18</v>
      </c>
      <c r="D20" s="4">
        <v>7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3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19</v>
      </c>
      <c r="S20" s="4">
        <v>0</v>
      </c>
      <c r="T20" s="4">
        <v>0</v>
      </c>
      <c r="U20" s="4">
        <v>0</v>
      </c>
      <c r="V20" s="4">
        <v>4</v>
      </c>
      <c r="W20" s="4">
        <v>90</v>
      </c>
      <c r="X20" s="4">
        <v>0</v>
      </c>
      <c r="Y20" s="1">
        <v>0</v>
      </c>
      <c r="Z20" s="4">
        <v>2</v>
      </c>
      <c r="AA20" s="4">
        <v>0</v>
      </c>
      <c r="AB20" s="4">
        <f t="shared" si="0"/>
        <v>125</v>
      </c>
      <c r="AC20" s="4"/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/>
      <c r="AN20" s="5"/>
      <c r="AO20" s="5"/>
      <c r="AP20" s="5"/>
      <c r="AQ20" s="4"/>
      <c r="AR20" s="4"/>
      <c r="AS20" s="4"/>
      <c r="AT20" s="4"/>
      <c r="AU20" s="4"/>
      <c r="AV20" s="4"/>
      <c r="AW20" s="1"/>
      <c r="AX20" s="1"/>
      <c r="AY20" s="1"/>
      <c r="AZ20" s="1"/>
      <c r="BA20" t="s">
        <v>11</v>
      </c>
    </row>
    <row r="21" spans="1:54" x14ac:dyDescent="0.2">
      <c r="A21" s="10" t="s">
        <v>55</v>
      </c>
      <c r="B21" s="1">
        <v>1</v>
      </c>
      <c r="C21" s="1">
        <v>19</v>
      </c>
      <c r="D21" s="4">
        <v>42</v>
      </c>
      <c r="E21" s="4">
        <v>0</v>
      </c>
      <c r="F21" s="4">
        <v>0</v>
      </c>
      <c r="G21" s="4">
        <v>4</v>
      </c>
      <c r="H21" s="4">
        <v>0</v>
      </c>
      <c r="I21" s="4">
        <v>0</v>
      </c>
      <c r="J21" s="4">
        <v>0</v>
      </c>
      <c r="K21" s="4">
        <v>0</v>
      </c>
      <c r="L21" s="4">
        <v>13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6</v>
      </c>
      <c r="S21" s="4">
        <v>4</v>
      </c>
      <c r="T21" s="4">
        <v>0</v>
      </c>
      <c r="U21" s="4">
        <v>0</v>
      </c>
      <c r="V21" s="4">
        <v>0</v>
      </c>
      <c r="W21" s="4">
        <v>36</v>
      </c>
      <c r="X21" s="4">
        <v>0</v>
      </c>
      <c r="Y21" s="4">
        <v>4</v>
      </c>
      <c r="Z21" s="4">
        <v>0</v>
      </c>
      <c r="AA21" s="4">
        <v>0</v>
      </c>
      <c r="AB21" s="4">
        <f t="shared" si="0"/>
        <v>109</v>
      </c>
      <c r="AC21" s="4"/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/>
      <c r="AN21" s="5"/>
      <c r="AO21" s="5"/>
      <c r="AP21" s="5"/>
      <c r="AQ21" s="4"/>
      <c r="AR21" s="4"/>
      <c r="AS21" s="4"/>
      <c r="AT21" s="4"/>
      <c r="AU21" s="4"/>
      <c r="AV21" s="4"/>
    </row>
    <row r="22" spans="1:54" x14ac:dyDescent="0.2">
      <c r="A22" s="10" t="s">
        <v>55</v>
      </c>
      <c r="B22" s="1">
        <v>1</v>
      </c>
      <c r="C22" s="1">
        <v>20</v>
      </c>
      <c r="D22" s="4">
        <v>28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65</v>
      </c>
      <c r="X22" s="4">
        <v>0</v>
      </c>
      <c r="Y22" s="4">
        <v>0</v>
      </c>
      <c r="Z22" s="4">
        <v>1</v>
      </c>
      <c r="AA22" s="4">
        <v>5</v>
      </c>
      <c r="AB22" s="4">
        <f t="shared" si="0"/>
        <v>109</v>
      </c>
      <c r="AC22" s="4"/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4</v>
      </c>
      <c r="AJ22" s="4">
        <v>0</v>
      </c>
      <c r="AK22" s="4">
        <v>0</v>
      </c>
      <c r="AL22" s="4">
        <v>0</v>
      </c>
      <c r="AM22" s="4"/>
      <c r="AN22" s="5"/>
      <c r="AO22" s="5"/>
      <c r="AP22" s="5"/>
      <c r="AQ22" s="4"/>
      <c r="AR22" s="4"/>
      <c r="AS22" s="4"/>
      <c r="AT22" s="4"/>
      <c r="AU22" s="4"/>
      <c r="AV22" s="4"/>
      <c r="BA22" t="s">
        <v>12</v>
      </c>
    </row>
    <row r="23" spans="1:54" x14ac:dyDescent="0.2">
      <c r="A23" s="10" t="s">
        <v>56</v>
      </c>
      <c r="B23" s="1">
        <v>1</v>
      </c>
      <c r="C23" s="1">
        <v>21</v>
      </c>
      <c r="D23" s="4">
        <v>39</v>
      </c>
      <c r="E23" s="4">
        <v>0</v>
      </c>
      <c r="F23" s="4">
        <v>0</v>
      </c>
      <c r="G23" s="4">
        <v>1</v>
      </c>
      <c r="H23" s="4">
        <v>2</v>
      </c>
      <c r="I23" s="4">
        <v>3</v>
      </c>
      <c r="J23" s="4">
        <v>0</v>
      </c>
      <c r="K23" s="4">
        <v>0</v>
      </c>
      <c r="L23" s="4">
        <v>5</v>
      </c>
      <c r="M23" s="4">
        <v>3</v>
      </c>
      <c r="N23" s="4">
        <v>0</v>
      </c>
      <c r="O23" s="4">
        <v>0</v>
      </c>
      <c r="P23" s="4">
        <v>0</v>
      </c>
      <c r="Q23" s="4">
        <v>0</v>
      </c>
      <c r="R23" s="4">
        <v>2</v>
      </c>
      <c r="S23" s="4">
        <v>0</v>
      </c>
      <c r="T23" s="4">
        <v>0</v>
      </c>
      <c r="U23" s="4">
        <v>0</v>
      </c>
      <c r="V23" s="4">
        <v>0</v>
      </c>
      <c r="W23" s="4">
        <v>48</v>
      </c>
      <c r="X23" s="4">
        <v>0</v>
      </c>
      <c r="Y23" s="4">
        <v>0</v>
      </c>
      <c r="Z23" s="4">
        <v>0</v>
      </c>
      <c r="AA23" s="4">
        <v>4</v>
      </c>
      <c r="AB23" s="4">
        <f t="shared" si="0"/>
        <v>107</v>
      </c>
      <c r="AC23" s="4"/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/>
      <c r="AN23" s="5"/>
      <c r="AO23" s="5"/>
      <c r="AP23" s="5"/>
      <c r="AQ23" s="4"/>
      <c r="AR23" s="4"/>
      <c r="AS23" s="4"/>
      <c r="AT23" s="4"/>
      <c r="AU23" s="4"/>
      <c r="AV23" s="4"/>
      <c r="BA23" t="s">
        <v>11</v>
      </c>
    </row>
    <row r="24" spans="1:54" x14ac:dyDescent="0.2">
      <c r="A24" s="10" t="s">
        <v>58</v>
      </c>
      <c r="B24" s="1">
        <v>1</v>
      </c>
      <c r="C24" s="1">
        <v>22</v>
      </c>
      <c r="D24" s="4">
        <v>50</v>
      </c>
      <c r="E24" s="4">
        <v>0</v>
      </c>
      <c r="F24" s="4">
        <v>0</v>
      </c>
      <c r="G24" s="4">
        <v>7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15</v>
      </c>
      <c r="S24" s="4">
        <v>0</v>
      </c>
      <c r="T24" s="4">
        <v>0</v>
      </c>
      <c r="U24" s="4">
        <v>0</v>
      </c>
      <c r="V24" s="4">
        <v>20</v>
      </c>
      <c r="W24" s="4">
        <v>10</v>
      </c>
      <c r="X24" s="4">
        <v>0</v>
      </c>
      <c r="Y24" s="4">
        <v>0</v>
      </c>
      <c r="Z24" s="4">
        <v>0</v>
      </c>
      <c r="AA24" s="4">
        <v>7</v>
      </c>
      <c r="AB24" s="4">
        <f t="shared" si="0"/>
        <v>109</v>
      </c>
      <c r="AC24" s="4"/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/>
      <c r="AN24" s="5"/>
      <c r="AO24" s="5"/>
      <c r="AP24" s="5"/>
      <c r="AQ24" s="4"/>
      <c r="AR24" s="4"/>
      <c r="AS24" s="4"/>
      <c r="AT24" s="4"/>
      <c r="AU24" s="4"/>
      <c r="AV24" s="4"/>
      <c r="BA24" t="s">
        <v>8</v>
      </c>
    </row>
    <row r="25" spans="1:54" x14ac:dyDescent="0.2">
      <c r="A25" s="10" t="s">
        <v>58</v>
      </c>
      <c r="B25" s="1">
        <v>1</v>
      </c>
      <c r="C25" s="1">
        <v>23</v>
      </c>
      <c r="D25" s="4">
        <v>20</v>
      </c>
      <c r="E25" s="4">
        <v>0</v>
      </c>
      <c r="F25" s="4">
        <v>0</v>
      </c>
      <c r="G25" s="4">
        <v>27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18</v>
      </c>
      <c r="S25" s="4">
        <v>0</v>
      </c>
      <c r="T25" s="4">
        <v>0</v>
      </c>
      <c r="U25" s="4">
        <v>0</v>
      </c>
      <c r="V25" s="4">
        <v>0</v>
      </c>
      <c r="W25" s="4">
        <v>12</v>
      </c>
      <c r="X25" s="4">
        <v>0</v>
      </c>
      <c r="Y25" s="4">
        <v>0</v>
      </c>
      <c r="Z25" s="4">
        <v>0</v>
      </c>
      <c r="AA25" s="4">
        <v>25</v>
      </c>
      <c r="AB25" s="4">
        <f t="shared" si="0"/>
        <v>102</v>
      </c>
      <c r="AC25" s="4"/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/>
      <c r="AN25" s="5"/>
      <c r="AO25" s="5"/>
      <c r="AP25" s="5"/>
      <c r="AQ25" s="4"/>
      <c r="AR25" s="4"/>
      <c r="AS25" s="4"/>
      <c r="AT25" s="4"/>
      <c r="AU25" s="4"/>
      <c r="AV25" s="4"/>
      <c r="BA25" t="s">
        <v>13</v>
      </c>
    </row>
    <row r="26" spans="1:54" x14ac:dyDescent="0.2">
      <c r="A26" s="10" t="s">
        <v>62</v>
      </c>
      <c r="B26" s="1">
        <v>2</v>
      </c>
      <c r="C26" s="1">
        <v>1</v>
      </c>
      <c r="D26" s="4">
        <v>36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35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2</v>
      </c>
      <c r="V26" s="4">
        <v>0</v>
      </c>
      <c r="W26" s="4">
        <v>64</v>
      </c>
      <c r="X26" s="4">
        <v>41</v>
      </c>
      <c r="Y26" s="4">
        <v>0</v>
      </c>
      <c r="Z26" s="4">
        <v>0</v>
      </c>
      <c r="AA26" s="4">
        <v>0</v>
      </c>
      <c r="AB26" s="4">
        <f t="shared" si="0"/>
        <v>178</v>
      </c>
      <c r="AC26" s="4"/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4</v>
      </c>
      <c r="AJ26" s="4">
        <v>0</v>
      </c>
      <c r="AK26" s="4">
        <v>0</v>
      </c>
      <c r="AL26" s="4">
        <v>0</v>
      </c>
      <c r="AM26" s="4"/>
      <c r="AN26" s="5"/>
      <c r="AO26" s="5"/>
      <c r="AP26" s="5"/>
      <c r="AQ26" s="4"/>
      <c r="AR26" s="4"/>
      <c r="AS26" s="4"/>
      <c r="AT26" s="4"/>
      <c r="AU26" s="4"/>
      <c r="AV26" s="4"/>
      <c r="BA26" t="s">
        <v>11</v>
      </c>
    </row>
    <row r="27" spans="1:54" x14ac:dyDescent="0.2">
      <c r="A27" s="10" t="s">
        <v>62</v>
      </c>
      <c r="B27" s="1">
        <v>2</v>
      </c>
      <c r="C27" s="1">
        <v>2</v>
      </c>
      <c r="D27" s="4">
        <v>16</v>
      </c>
      <c r="E27" s="4">
        <v>0</v>
      </c>
      <c r="F27" s="4">
        <v>0</v>
      </c>
      <c r="G27" s="4">
        <v>8</v>
      </c>
      <c r="H27" s="4">
        <v>0</v>
      </c>
      <c r="I27" s="4">
        <v>0</v>
      </c>
      <c r="J27" s="4">
        <v>0</v>
      </c>
      <c r="K27" s="4">
        <v>0</v>
      </c>
      <c r="L27" s="4">
        <v>8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16</v>
      </c>
      <c r="W27" s="4">
        <v>48</v>
      </c>
      <c r="X27" s="4">
        <v>45</v>
      </c>
      <c r="Y27" s="4">
        <v>0</v>
      </c>
      <c r="Z27" s="4">
        <v>0</v>
      </c>
      <c r="AA27" s="4">
        <v>0</v>
      </c>
      <c r="AB27" s="4">
        <f t="shared" si="0"/>
        <v>141</v>
      </c>
      <c r="AC27" s="4"/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/>
      <c r="AN27" s="5"/>
      <c r="AO27" s="5"/>
      <c r="AP27" s="5"/>
      <c r="AQ27" s="4"/>
      <c r="AR27" s="4"/>
      <c r="AS27" s="4"/>
      <c r="AT27" s="4"/>
      <c r="AU27" s="4"/>
      <c r="AV27" s="4"/>
      <c r="BA27" t="s">
        <v>11</v>
      </c>
    </row>
    <row r="28" spans="1:54" x14ac:dyDescent="0.2">
      <c r="A28" s="10" t="s">
        <v>63</v>
      </c>
      <c r="B28" s="1">
        <v>2</v>
      </c>
      <c r="C28" s="1">
        <v>3</v>
      </c>
      <c r="D28" s="4">
        <v>56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28</v>
      </c>
      <c r="S28" s="4">
        <v>0</v>
      </c>
      <c r="T28" s="4">
        <v>0</v>
      </c>
      <c r="U28" s="4">
        <v>4</v>
      </c>
      <c r="V28" s="4">
        <v>0</v>
      </c>
      <c r="W28" s="4">
        <v>80</v>
      </c>
      <c r="X28" s="4">
        <v>0</v>
      </c>
      <c r="Y28" s="4">
        <v>0</v>
      </c>
      <c r="Z28" s="4">
        <v>0</v>
      </c>
      <c r="AA28" s="4">
        <v>0</v>
      </c>
      <c r="AB28" s="4">
        <f t="shared" si="0"/>
        <v>168</v>
      </c>
      <c r="AC28" s="4"/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/>
      <c r="AN28" s="5"/>
      <c r="AO28" s="5"/>
      <c r="AP28" s="5"/>
      <c r="AQ28" s="4"/>
      <c r="AR28" s="4"/>
      <c r="AS28" s="4"/>
      <c r="AT28" s="4"/>
      <c r="AU28" s="4"/>
      <c r="AV28" s="4"/>
    </row>
    <row r="29" spans="1:54" x14ac:dyDescent="0.2">
      <c r="A29" s="10" t="s">
        <v>63</v>
      </c>
      <c r="B29" s="1">
        <v>2</v>
      </c>
      <c r="C29" s="1">
        <v>4</v>
      </c>
      <c r="D29" s="4">
        <v>44</v>
      </c>
      <c r="E29" s="4">
        <v>0</v>
      </c>
      <c r="F29" s="4">
        <v>0</v>
      </c>
      <c r="G29" s="4">
        <v>10</v>
      </c>
      <c r="H29" s="4">
        <v>0</v>
      </c>
      <c r="I29" s="4">
        <v>0</v>
      </c>
      <c r="J29" s="4">
        <v>0</v>
      </c>
      <c r="K29" s="4">
        <v>0</v>
      </c>
      <c r="L29" s="4">
        <v>38</v>
      </c>
      <c r="M29" s="4">
        <v>4</v>
      </c>
      <c r="N29" s="4">
        <v>0</v>
      </c>
      <c r="O29" s="4">
        <v>0</v>
      </c>
      <c r="P29" s="4">
        <v>0</v>
      </c>
      <c r="Q29" s="4">
        <v>0</v>
      </c>
      <c r="R29" s="4">
        <v>48</v>
      </c>
      <c r="S29" s="4">
        <v>0</v>
      </c>
      <c r="T29" s="4">
        <v>0</v>
      </c>
      <c r="U29" s="4">
        <v>2</v>
      </c>
      <c r="V29" s="4">
        <v>6</v>
      </c>
      <c r="W29" s="4">
        <v>48</v>
      </c>
      <c r="X29" s="4">
        <v>32</v>
      </c>
      <c r="Y29" s="4">
        <v>0</v>
      </c>
      <c r="Z29" s="4">
        <v>8</v>
      </c>
      <c r="AA29" s="4">
        <v>0</v>
      </c>
      <c r="AB29" s="4">
        <f t="shared" si="0"/>
        <v>240</v>
      </c>
      <c r="AC29" s="4"/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/>
      <c r="AN29" s="5"/>
      <c r="AO29" s="5"/>
      <c r="AP29" s="5"/>
      <c r="AQ29" s="4"/>
      <c r="AR29" s="4"/>
      <c r="AS29" s="4"/>
      <c r="AT29" s="4"/>
      <c r="AU29" s="4"/>
      <c r="AV29" s="4"/>
      <c r="BA29" t="s">
        <v>10</v>
      </c>
    </row>
    <row r="30" spans="1:54" x14ac:dyDescent="0.2">
      <c r="A30" s="10" t="s">
        <v>49</v>
      </c>
      <c r="B30" s="1">
        <v>2</v>
      </c>
      <c r="C30" s="1">
        <v>5</v>
      </c>
      <c r="D30" s="4">
        <v>60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4</v>
      </c>
      <c r="M30" s="4">
        <v>6</v>
      </c>
      <c r="N30" s="4">
        <v>0</v>
      </c>
      <c r="O30" s="4">
        <v>0</v>
      </c>
      <c r="P30" s="4">
        <v>0</v>
      </c>
      <c r="Q30" s="4">
        <v>0</v>
      </c>
      <c r="R30" s="4">
        <v>16</v>
      </c>
      <c r="S30" s="4">
        <v>0</v>
      </c>
      <c r="T30" s="4">
        <v>0</v>
      </c>
      <c r="U30" s="4">
        <v>0</v>
      </c>
      <c r="V30" s="4">
        <v>16</v>
      </c>
      <c r="W30" s="4">
        <v>2</v>
      </c>
      <c r="X30" s="4">
        <v>8</v>
      </c>
      <c r="Y30" s="4">
        <v>0</v>
      </c>
      <c r="Z30" s="4">
        <v>0</v>
      </c>
      <c r="AA30" s="4">
        <v>0</v>
      </c>
      <c r="AB30" s="4">
        <f t="shared" si="0"/>
        <v>112</v>
      </c>
      <c r="AC30" s="4"/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/>
      <c r="AN30" s="5"/>
      <c r="AO30" s="5"/>
      <c r="AP30" s="5"/>
      <c r="AQ30" s="4"/>
      <c r="AR30" s="4"/>
      <c r="AS30" s="4"/>
      <c r="AT30" s="4"/>
      <c r="AU30" s="4"/>
      <c r="AV30" s="4"/>
    </row>
    <row r="31" spans="1:54" x14ac:dyDescent="0.2">
      <c r="A31" s="10" t="s">
        <v>49</v>
      </c>
      <c r="B31" s="1">
        <v>2</v>
      </c>
      <c r="C31" s="1">
        <v>6</v>
      </c>
      <c r="D31" s="4">
        <v>44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10</v>
      </c>
      <c r="W31" s="4">
        <v>0</v>
      </c>
      <c r="X31" s="4">
        <v>24</v>
      </c>
      <c r="Y31" s="4">
        <v>0</v>
      </c>
      <c r="Z31" s="4">
        <v>0</v>
      </c>
      <c r="AA31" s="4">
        <v>0</v>
      </c>
      <c r="AB31" s="4">
        <f t="shared" si="0"/>
        <v>82</v>
      </c>
      <c r="AC31" s="4"/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/>
      <c r="AN31" s="5"/>
      <c r="AO31" s="6"/>
      <c r="AP31" s="5"/>
      <c r="AQ31" s="4"/>
      <c r="AR31" s="4"/>
      <c r="AS31" s="4"/>
      <c r="AT31" s="4"/>
      <c r="AU31" s="4"/>
      <c r="AV31" s="4"/>
      <c r="BA31" t="s">
        <v>14</v>
      </c>
    </row>
    <row r="32" spans="1:54" x14ac:dyDescent="0.2">
      <c r="A32" s="10" t="s">
        <v>64</v>
      </c>
      <c r="B32" s="1">
        <v>2</v>
      </c>
      <c r="C32" s="1">
        <v>7</v>
      </c>
      <c r="D32" s="4">
        <v>34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4</v>
      </c>
      <c r="M32" s="4">
        <v>1</v>
      </c>
      <c r="N32" s="4">
        <v>0</v>
      </c>
      <c r="O32" s="4">
        <v>0</v>
      </c>
      <c r="P32" s="4">
        <v>0</v>
      </c>
      <c r="Q32" s="4">
        <v>0</v>
      </c>
      <c r="R32" s="4">
        <v>32</v>
      </c>
      <c r="S32" s="4">
        <v>2</v>
      </c>
      <c r="T32" s="4">
        <v>0</v>
      </c>
      <c r="U32" s="4">
        <v>0</v>
      </c>
      <c r="V32" s="4">
        <v>2</v>
      </c>
      <c r="W32" s="4">
        <v>10</v>
      </c>
      <c r="X32" s="4">
        <v>20</v>
      </c>
      <c r="Y32" s="4">
        <v>0</v>
      </c>
      <c r="Z32" s="4">
        <v>0</v>
      </c>
      <c r="AA32" s="4">
        <v>0</v>
      </c>
      <c r="AB32" s="4">
        <f t="shared" si="0"/>
        <v>105</v>
      </c>
      <c r="AC32" s="4"/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/>
      <c r="AN32" s="5"/>
      <c r="AO32" s="5"/>
      <c r="AP32" s="5"/>
      <c r="AQ32" s="4"/>
      <c r="AR32" s="4"/>
      <c r="AS32" s="4"/>
      <c r="AT32" s="4"/>
      <c r="AU32" s="4"/>
      <c r="AV32" s="4"/>
    </row>
    <row r="33" spans="1:57" x14ac:dyDescent="0.2">
      <c r="A33" s="10" t="s">
        <v>64</v>
      </c>
      <c r="B33" s="1">
        <v>2</v>
      </c>
      <c r="C33" s="1">
        <v>8</v>
      </c>
      <c r="D33" s="4">
        <v>26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4</v>
      </c>
      <c r="M33" s="4">
        <v>3</v>
      </c>
      <c r="N33" s="4">
        <v>0</v>
      </c>
      <c r="O33" s="4">
        <v>0</v>
      </c>
      <c r="P33" s="4">
        <v>0</v>
      </c>
      <c r="Q33" s="4">
        <v>0</v>
      </c>
      <c r="R33" s="4">
        <v>22</v>
      </c>
      <c r="S33" s="4">
        <v>0</v>
      </c>
      <c r="T33" s="4">
        <v>0</v>
      </c>
      <c r="U33" s="4">
        <v>0</v>
      </c>
      <c r="V33" s="4">
        <v>10</v>
      </c>
      <c r="W33" s="4">
        <v>20</v>
      </c>
      <c r="X33" s="4">
        <v>32</v>
      </c>
      <c r="Y33" s="4">
        <v>0</v>
      </c>
      <c r="Z33" s="4">
        <v>0</v>
      </c>
      <c r="AA33" s="4">
        <v>0</v>
      </c>
      <c r="AB33" s="4">
        <f t="shared" si="0"/>
        <v>117</v>
      </c>
      <c r="AC33" s="4"/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/>
      <c r="AN33" s="5"/>
      <c r="AO33" s="5"/>
      <c r="AP33" s="5"/>
      <c r="AQ33" s="4"/>
      <c r="AR33" s="4"/>
      <c r="AS33" s="4"/>
      <c r="AT33" s="4"/>
      <c r="AU33" s="4"/>
      <c r="AV33" s="4"/>
    </row>
    <row r="34" spans="1:57" s="10" customFormat="1" x14ac:dyDescent="0.2">
      <c r="A34" s="10" t="s">
        <v>41</v>
      </c>
      <c r="B34" s="7">
        <v>2</v>
      </c>
      <c r="C34" s="1">
        <v>9</v>
      </c>
      <c r="D34" s="8">
        <v>72</v>
      </c>
      <c r="E34" s="4">
        <v>0</v>
      </c>
      <c r="F34" s="4">
        <v>0</v>
      </c>
      <c r="G34" s="8">
        <v>6</v>
      </c>
      <c r="H34" s="8">
        <v>0</v>
      </c>
      <c r="I34" s="4">
        <v>0</v>
      </c>
      <c r="J34" s="8">
        <v>0</v>
      </c>
      <c r="K34" s="8">
        <v>0</v>
      </c>
      <c r="L34" s="8">
        <v>0</v>
      </c>
      <c r="M34" s="8">
        <v>0</v>
      </c>
      <c r="N34" s="4">
        <v>0</v>
      </c>
      <c r="O34" s="4">
        <v>0</v>
      </c>
      <c r="P34" s="4">
        <v>0</v>
      </c>
      <c r="Q34" s="4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3</v>
      </c>
      <c r="Y34" s="8">
        <v>0</v>
      </c>
      <c r="Z34" s="8">
        <v>0</v>
      </c>
      <c r="AA34" s="8">
        <v>0</v>
      </c>
      <c r="AB34" s="4">
        <f t="shared" si="0"/>
        <v>81</v>
      </c>
      <c r="AC34" s="8"/>
      <c r="AD34" s="4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4">
        <v>0</v>
      </c>
      <c r="AK34" s="4">
        <v>0</v>
      </c>
      <c r="AL34" s="8">
        <v>0</v>
      </c>
      <c r="AM34" s="8"/>
      <c r="AN34" s="9"/>
      <c r="AO34" s="9"/>
      <c r="AP34" s="9"/>
      <c r="AQ34" s="8"/>
      <c r="AR34" s="8"/>
      <c r="AS34" s="8"/>
      <c r="AT34" s="8"/>
      <c r="AU34" s="8"/>
      <c r="AV34" s="8"/>
      <c r="AY34" s="10" t="s">
        <v>15</v>
      </c>
      <c r="BA34" s="10" t="s">
        <v>16</v>
      </c>
    </row>
    <row r="35" spans="1:57" x14ac:dyDescent="0.2">
      <c r="A35" s="10" t="s">
        <v>65</v>
      </c>
      <c r="B35" s="7">
        <v>2</v>
      </c>
      <c r="C35" s="1">
        <v>10</v>
      </c>
      <c r="D35" s="4">
        <v>8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4</v>
      </c>
      <c r="M35" s="4">
        <v>0</v>
      </c>
      <c r="N35" s="4">
        <v>0</v>
      </c>
      <c r="O35" s="4">
        <v>12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88</v>
      </c>
      <c r="X35" s="4">
        <v>0</v>
      </c>
      <c r="Y35" s="4">
        <v>0</v>
      </c>
      <c r="Z35" s="4">
        <v>0</v>
      </c>
      <c r="AA35" s="4">
        <v>8</v>
      </c>
      <c r="AB35" s="4">
        <f t="shared" ref="AB35:AB66" si="1">SUM(D35:AA35)</f>
        <v>120</v>
      </c>
      <c r="AC35" s="4"/>
      <c r="AD35" s="4">
        <v>0</v>
      </c>
      <c r="AE35" s="4">
        <v>0</v>
      </c>
      <c r="AF35" s="4">
        <v>0</v>
      </c>
      <c r="AG35" s="4">
        <v>2</v>
      </c>
      <c r="AH35" s="4">
        <v>2</v>
      </c>
      <c r="AI35" s="4">
        <v>0</v>
      </c>
      <c r="AJ35" s="4">
        <v>1</v>
      </c>
      <c r="AK35" s="4">
        <v>0</v>
      </c>
      <c r="AL35" s="4">
        <v>0</v>
      </c>
      <c r="AM35" s="4"/>
      <c r="AN35" s="5"/>
      <c r="AO35" s="5"/>
      <c r="AP35" s="5"/>
      <c r="AQ35" s="4"/>
      <c r="AR35" s="4"/>
      <c r="AS35" s="4"/>
      <c r="AT35" s="4"/>
      <c r="AU35" s="4"/>
      <c r="AV35" s="4"/>
    </row>
    <row r="36" spans="1:57" x14ac:dyDescent="0.2">
      <c r="A36" s="10" t="s">
        <v>66</v>
      </c>
      <c r="B36" s="7">
        <v>2</v>
      </c>
      <c r="C36" s="1">
        <v>11</v>
      </c>
      <c r="D36" s="4">
        <v>70</v>
      </c>
      <c r="E36" s="4">
        <v>0</v>
      </c>
      <c r="F36" s="4">
        <v>0</v>
      </c>
      <c r="G36" s="4">
        <v>25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3</v>
      </c>
      <c r="V36" s="4">
        <v>0</v>
      </c>
      <c r="W36" s="4">
        <v>5</v>
      </c>
      <c r="X36" s="4">
        <v>0</v>
      </c>
      <c r="Y36" s="4">
        <v>0</v>
      </c>
      <c r="Z36" s="4">
        <v>0</v>
      </c>
      <c r="AA36" s="4">
        <v>0</v>
      </c>
      <c r="AB36" s="4">
        <f t="shared" si="1"/>
        <v>103</v>
      </c>
      <c r="AC36" s="4"/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/>
      <c r="AN36" s="5"/>
      <c r="AO36" s="5"/>
      <c r="AP36" s="5"/>
      <c r="AQ36" s="4"/>
      <c r="AR36" s="4"/>
      <c r="AS36" s="4"/>
      <c r="AT36" s="4"/>
      <c r="AU36" s="4"/>
      <c r="AV36" s="4"/>
    </row>
    <row r="37" spans="1:57" x14ac:dyDescent="0.2">
      <c r="A37" s="10" t="s">
        <v>66</v>
      </c>
      <c r="B37" s="7">
        <v>2</v>
      </c>
      <c r="C37" s="1">
        <v>12</v>
      </c>
      <c r="D37" s="4">
        <v>30</v>
      </c>
      <c r="E37" s="4">
        <v>0</v>
      </c>
      <c r="F37" s="4">
        <v>0</v>
      </c>
      <c r="G37" s="4">
        <v>50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20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f t="shared" si="1"/>
        <v>100</v>
      </c>
      <c r="AC37" s="4"/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/>
      <c r="AN37" s="5"/>
      <c r="AO37" s="5"/>
      <c r="AP37" s="5"/>
      <c r="AQ37" s="4"/>
      <c r="AR37" s="4"/>
      <c r="AS37" s="4"/>
      <c r="AT37" s="4"/>
      <c r="AU37" s="4"/>
      <c r="AV37" s="4"/>
      <c r="AZ37" t="s">
        <v>10</v>
      </c>
      <c r="BA37" t="s">
        <v>10</v>
      </c>
    </row>
    <row r="38" spans="1:57" x14ac:dyDescent="0.2">
      <c r="A38" s="10" t="s">
        <v>63</v>
      </c>
      <c r="B38" s="7">
        <v>2</v>
      </c>
      <c r="C38" s="1">
        <v>13</v>
      </c>
      <c r="D38" s="4">
        <v>80</v>
      </c>
      <c r="E38" s="4">
        <v>0</v>
      </c>
      <c r="F38" s="4">
        <v>0</v>
      </c>
      <c r="G38" s="4">
        <v>20</v>
      </c>
      <c r="H38" s="4">
        <v>0</v>
      </c>
      <c r="I38" s="4">
        <v>3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10</v>
      </c>
      <c r="R38" s="4">
        <v>0</v>
      </c>
      <c r="S38" s="4">
        <v>0</v>
      </c>
      <c r="T38" s="4">
        <v>0</v>
      </c>
      <c r="U38" s="4">
        <v>0</v>
      </c>
      <c r="V38" s="4">
        <v>4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f t="shared" si="1"/>
        <v>117</v>
      </c>
      <c r="AC38" s="4"/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/>
      <c r="AN38" s="5"/>
      <c r="AO38" s="5"/>
      <c r="AP38" s="5"/>
      <c r="AQ38" s="4"/>
      <c r="AR38" s="4"/>
      <c r="AS38" s="4"/>
      <c r="AT38" s="4"/>
      <c r="AU38" s="4"/>
      <c r="AV38" s="4"/>
      <c r="BA38" t="s">
        <v>9</v>
      </c>
    </row>
    <row r="39" spans="1:57" x14ac:dyDescent="0.2">
      <c r="A39" s="10" t="s">
        <v>63</v>
      </c>
      <c r="B39" s="7">
        <v>2</v>
      </c>
      <c r="C39" s="1">
        <v>14</v>
      </c>
      <c r="D39" s="4">
        <v>30</v>
      </c>
      <c r="E39" s="4">
        <v>10</v>
      </c>
      <c r="F39" s="4">
        <v>0</v>
      </c>
      <c r="G39" s="4">
        <v>50</v>
      </c>
      <c r="H39" s="4">
        <v>0</v>
      </c>
      <c r="I39" s="4">
        <v>0</v>
      </c>
      <c r="J39" s="4">
        <v>0</v>
      </c>
      <c r="K39" s="4">
        <v>0</v>
      </c>
      <c r="L39" s="4">
        <v>20</v>
      </c>
      <c r="M39" s="4">
        <v>0</v>
      </c>
      <c r="N39" s="4">
        <v>0</v>
      </c>
      <c r="O39" s="4">
        <v>0</v>
      </c>
      <c r="P39" s="4">
        <v>20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f t="shared" si="1"/>
        <v>130</v>
      </c>
      <c r="AC39" s="4"/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/>
      <c r="AN39" s="5"/>
      <c r="AO39" s="5"/>
      <c r="AP39" s="5"/>
      <c r="AQ39" s="4"/>
      <c r="AR39" s="4"/>
      <c r="AS39" s="4"/>
      <c r="AT39" s="4"/>
      <c r="AU39" s="4"/>
      <c r="AV39" s="4"/>
    </row>
    <row r="40" spans="1:57" x14ac:dyDescent="0.2">
      <c r="A40" s="10" t="s">
        <v>70</v>
      </c>
      <c r="B40" s="7">
        <v>2</v>
      </c>
      <c r="C40" s="1">
        <v>15</v>
      </c>
      <c r="D40" s="4">
        <v>60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2</v>
      </c>
      <c r="N40" s="4">
        <v>0</v>
      </c>
      <c r="O40" s="4">
        <v>0</v>
      </c>
      <c r="P40" s="4">
        <v>0</v>
      </c>
      <c r="Q40" s="4">
        <v>0</v>
      </c>
      <c r="R40" s="4">
        <v>16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20</v>
      </c>
      <c r="Y40" s="4">
        <v>0</v>
      </c>
      <c r="Z40" s="4">
        <v>0</v>
      </c>
      <c r="AA40" s="4">
        <v>0</v>
      </c>
      <c r="AB40" s="4">
        <f t="shared" si="1"/>
        <v>99</v>
      </c>
      <c r="AC40" s="4"/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/>
      <c r="AN40" s="5"/>
      <c r="AO40" s="5"/>
      <c r="AP40" s="5"/>
      <c r="AQ40" s="4"/>
      <c r="AR40" s="4"/>
      <c r="AS40" s="4"/>
      <c r="AT40" s="4"/>
      <c r="AU40" s="4"/>
      <c r="AV40" s="4"/>
      <c r="BA40" t="s">
        <v>9</v>
      </c>
    </row>
    <row r="41" spans="1:57" x14ac:dyDescent="0.2">
      <c r="A41" s="10" t="s">
        <v>70</v>
      </c>
      <c r="B41" s="7">
        <v>2</v>
      </c>
      <c r="C41" s="1">
        <v>16</v>
      </c>
      <c r="D41" s="4">
        <v>25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8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6</v>
      </c>
      <c r="W41" s="4">
        <v>35</v>
      </c>
      <c r="X41" s="4">
        <v>10</v>
      </c>
      <c r="Y41" s="4">
        <v>0</v>
      </c>
      <c r="Z41" s="4">
        <v>0</v>
      </c>
      <c r="AA41" s="4">
        <v>0</v>
      </c>
      <c r="AB41" s="4">
        <f t="shared" si="1"/>
        <v>84</v>
      </c>
      <c r="AC41" s="4"/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/>
      <c r="AN41" s="5"/>
      <c r="AO41" s="5"/>
      <c r="AP41" s="5"/>
      <c r="AQ41" s="4"/>
      <c r="AR41" s="4"/>
      <c r="AS41" s="4"/>
      <c r="AT41" s="4"/>
      <c r="AU41" s="4"/>
      <c r="AV41" s="4"/>
      <c r="BA41" t="s">
        <v>13</v>
      </c>
    </row>
    <row r="42" spans="1:57" x14ac:dyDescent="0.2">
      <c r="A42" s="10" t="s">
        <v>53</v>
      </c>
      <c r="B42" s="7">
        <v>2</v>
      </c>
      <c r="C42" s="1">
        <v>17</v>
      </c>
      <c r="D42" s="4">
        <v>60</v>
      </c>
      <c r="E42" s="4">
        <v>0</v>
      </c>
      <c r="F42" s="4">
        <v>0</v>
      </c>
      <c r="G42" s="4">
        <v>6</v>
      </c>
      <c r="H42" s="4">
        <v>0</v>
      </c>
      <c r="I42" s="4">
        <v>0</v>
      </c>
      <c r="J42" s="4">
        <v>0</v>
      </c>
      <c r="K42" s="4">
        <v>0</v>
      </c>
      <c r="L42" s="4">
        <v>3</v>
      </c>
      <c r="M42" s="4">
        <v>4</v>
      </c>
      <c r="N42" s="4">
        <v>0</v>
      </c>
      <c r="O42" s="4">
        <v>0</v>
      </c>
      <c r="P42" s="4">
        <v>0</v>
      </c>
      <c r="Q42" s="4">
        <v>0</v>
      </c>
      <c r="R42" s="4">
        <v>3</v>
      </c>
      <c r="S42" s="4">
        <v>4</v>
      </c>
      <c r="T42" s="4">
        <v>0</v>
      </c>
      <c r="U42" s="4">
        <v>0</v>
      </c>
      <c r="V42" s="4">
        <v>0</v>
      </c>
      <c r="W42" s="4">
        <v>2</v>
      </c>
      <c r="X42" s="4">
        <v>12</v>
      </c>
      <c r="Y42" s="4">
        <v>0</v>
      </c>
      <c r="Z42" s="4">
        <v>0</v>
      </c>
      <c r="AA42" s="4">
        <v>0</v>
      </c>
      <c r="AB42" s="4">
        <f t="shared" si="1"/>
        <v>94</v>
      </c>
      <c r="AC42" s="4"/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/>
      <c r="AN42" s="5"/>
      <c r="AO42" s="5"/>
      <c r="AP42" s="5"/>
      <c r="AQ42" s="4"/>
      <c r="AR42" s="4"/>
      <c r="AS42" s="4"/>
      <c r="AT42" s="4"/>
      <c r="AU42" s="4"/>
      <c r="AV42" s="4"/>
    </row>
    <row r="43" spans="1:57" x14ac:dyDescent="0.2">
      <c r="A43" s="10" t="s">
        <v>71</v>
      </c>
      <c r="B43" s="7">
        <v>2</v>
      </c>
      <c r="C43" s="1">
        <v>18</v>
      </c>
      <c r="D43" s="4">
        <v>40</v>
      </c>
      <c r="E43" s="4">
        <v>0</v>
      </c>
      <c r="F43" s="4">
        <v>0</v>
      </c>
      <c r="G43" s="4">
        <v>30</v>
      </c>
      <c r="H43" s="4">
        <v>2</v>
      </c>
      <c r="I43" s="4">
        <v>0</v>
      </c>
      <c r="J43" s="4">
        <v>7</v>
      </c>
      <c r="K43" s="4">
        <v>0</v>
      </c>
      <c r="L43" s="4">
        <v>5</v>
      </c>
      <c r="M43" s="4">
        <v>5</v>
      </c>
      <c r="N43" s="4">
        <v>0</v>
      </c>
      <c r="O43" s="4">
        <v>0</v>
      </c>
      <c r="P43" s="4">
        <v>0</v>
      </c>
      <c r="Q43" s="4">
        <v>0</v>
      </c>
      <c r="R43" s="4">
        <v>7</v>
      </c>
      <c r="S43" s="4">
        <v>2</v>
      </c>
      <c r="T43" s="4">
        <v>0</v>
      </c>
      <c r="U43" s="4">
        <v>0</v>
      </c>
      <c r="V43" s="4">
        <v>0</v>
      </c>
      <c r="W43" s="4">
        <v>80</v>
      </c>
      <c r="X43" s="4">
        <v>0</v>
      </c>
      <c r="Y43" s="4">
        <v>0</v>
      </c>
      <c r="Z43" s="4">
        <v>0</v>
      </c>
      <c r="AA43" s="4">
        <v>0</v>
      </c>
      <c r="AB43" s="4">
        <f t="shared" si="1"/>
        <v>178</v>
      </c>
      <c r="AC43" s="4"/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/>
      <c r="AN43" s="5"/>
      <c r="AO43" s="5"/>
      <c r="AP43" s="5"/>
      <c r="AQ43" s="4"/>
      <c r="AR43" s="4"/>
      <c r="AS43" s="4"/>
      <c r="AT43" s="4"/>
      <c r="AU43" s="4"/>
      <c r="AV43" s="4"/>
      <c r="BA43" t="s">
        <v>10</v>
      </c>
      <c r="BE43" t="s">
        <v>9</v>
      </c>
    </row>
    <row r="44" spans="1:57" x14ac:dyDescent="0.2">
      <c r="A44" s="10" t="s">
        <v>71</v>
      </c>
      <c r="B44" s="7">
        <v>2</v>
      </c>
      <c r="C44" s="1">
        <v>19</v>
      </c>
      <c r="D44" s="4">
        <v>13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23</v>
      </c>
      <c r="M44" s="4">
        <v>0</v>
      </c>
      <c r="N44" s="4">
        <v>0</v>
      </c>
      <c r="O44" s="4">
        <v>10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70</v>
      </c>
      <c r="X44" s="4">
        <v>0</v>
      </c>
      <c r="Y44" s="4">
        <v>0</v>
      </c>
      <c r="Z44" s="4">
        <v>0</v>
      </c>
      <c r="AA44" s="4">
        <v>10</v>
      </c>
      <c r="AB44" s="4">
        <f t="shared" si="1"/>
        <v>126</v>
      </c>
      <c r="AC44" s="4"/>
      <c r="AD44" s="4">
        <v>0</v>
      </c>
      <c r="AE44" s="4">
        <v>0</v>
      </c>
      <c r="AF44" s="4">
        <v>0</v>
      </c>
      <c r="AG44" s="4">
        <v>6</v>
      </c>
      <c r="AH44" s="4">
        <v>0</v>
      </c>
      <c r="AI44" s="4">
        <v>0</v>
      </c>
      <c r="AJ44" s="4">
        <v>0</v>
      </c>
      <c r="AK44" s="4">
        <v>10</v>
      </c>
      <c r="AL44" s="4">
        <v>0</v>
      </c>
      <c r="AM44" s="4"/>
      <c r="AN44" s="5"/>
      <c r="AO44" s="5"/>
      <c r="AP44" s="4"/>
      <c r="AQ44" s="4"/>
      <c r="AR44" s="4"/>
      <c r="AS44" s="4"/>
      <c r="AT44" s="4"/>
      <c r="AU44" s="4"/>
      <c r="AV44" s="4"/>
      <c r="BA44" t="s">
        <v>22</v>
      </c>
    </row>
    <row r="45" spans="1:57" x14ac:dyDescent="0.2">
      <c r="A45" s="10" t="s">
        <v>72</v>
      </c>
      <c r="B45" s="7">
        <v>2</v>
      </c>
      <c r="C45" s="1">
        <v>20</v>
      </c>
      <c r="D45" s="4">
        <v>10</v>
      </c>
      <c r="E45" s="4">
        <v>0</v>
      </c>
      <c r="F45" s="4">
        <v>0</v>
      </c>
      <c r="G45" s="4">
        <v>15</v>
      </c>
      <c r="H45" s="4">
        <v>0</v>
      </c>
      <c r="I45" s="4">
        <v>0</v>
      </c>
      <c r="J45" s="4">
        <v>0</v>
      </c>
      <c r="K45" s="4">
        <v>0</v>
      </c>
      <c r="L45" s="4">
        <v>11</v>
      </c>
      <c r="M45" s="4">
        <v>2</v>
      </c>
      <c r="N45" s="4">
        <v>0</v>
      </c>
      <c r="O45" s="4">
        <v>0</v>
      </c>
      <c r="P45" s="4">
        <v>0</v>
      </c>
      <c r="Q45" s="4">
        <v>0</v>
      </c>
      <c r="R45" s="4">
        <v>4</v>
      </c>
      <c r="S45" s="4">
        <v>0</v>
      </c>
      <c r="T45" s="4">
        <v>0</v>
      </c>
      <c r="U45" s="4">
        <v>0</v>
      </c>
      <c r="V45" s="4">
        <v>0</v>
      </c>
      <c r="W45" s="4">
        <v>35</v>
      </c>
      <c r="X45" s="4">
        <v>0</v>
      </c>
      <c r="Y45" s="4">
        <v>0</v>
      </c>
      <c r="Z45" s="4">
        <v>0</v>
      </c>
      <c r="AA45" s="4">
        <v>30</v>
      </c>
      <c r="AB45" s="4">
        <f t="shared" si="1"/>
        <v>107</v>
      </c>
      <c r="AC45" s="4"/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/>
      <c r="AN45" s="5"/>
      <c r="AO45" s="5"/>
      <c r="AP45" s="4"/>
      <c r="AQ45" s="4"/>
      <c r="AR45" s="4"/>
      <c r="AS45" s="4"/>
      <c r="AT45" s="4"/>
      <c r="AU45" s="4"/>
      <c r="AV45" s="4"/>
      <c r="BA45" t="s">
        <v>9</v>
      </c>
      <c r="BD45" t="s">
        <v>9</v>
      </c>
    </row>
    <row r="46" spans="1:57" x14ac:dyDescent="0.2">
      <c r="A46" s="10" t="s">
        <v>73</v>
      </c>
      <c r="B46" s="7">
        <v>2</v>
      </c>
      <c r="C46" s="1">
        <v>21</v>
      </c>
      <c r="D46" s="4">
        <v>20</v>
      </c>
      <c r="E46" s="4">
        <v>0</v>
      </c>
      <c r="F46" s="4">
        <v>1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3</v>
      </c>
      <c r="N46" s="4">
        <v>0</v>
      </c>
      <c r="O46" s="4">
        <v>0</v>
      </c>
      <c r="P46" s="4">
        <v>0</v>
      </c>
      <c r="Q46" s="4">
        <v>0</v>
      </c>
      <c r="R46" s="4">
        <v>16</v>
      </c>
      <c r="S46" s="4">
        <v>10</v>
      </c>
      <c r="T46" s="4">
        <v>3</v>
      </c>
      <c r="U46" s="4">
        <v>0</v>
      </c>
      <c r="V46" s="4">
        <v>0</v>
      </c>
      <c r="W46" s="4">
        <v>30</v>
      </c>
      <c r="X46" s="4">
        <v>0</v>
      </c>
      <c r="Y46" s="4">
        <v>0</v>
      </c>
      <c r="Z46" s="4">
        <v>0</v>
      </c>
      <c r="AA46" s="4">
        <v>25</v>
      </c>
      <c r="AB46" s="4">
        <f t="shared" si="1"/>
        <v>108</v>
      </c>
      <c r="AC46" s="4"/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/>
      <c r="AN46" s="5"/>
      <c r="AO46" s="5"/>
      <c r="AP46" s="4"/>
      <c r="AQ46" s="4"/>
      <c r="AR46" s="4"/>
      <c r="AS46" s="4"/>
      <c r="AT46" s="4"/>
      <c r="AU46" s="4"/>
      <c r="AV46" s="4"/>
      <c r="BA46" t="s">
        <v>12</v>
      </c>
      <c r="BD46" t="s">
        <v>9</v>
      </c>
    </row>
    <row r="47" spans="1:57" x14ac:dyDescent="0.2">
      <c r="A47" s="10" t="s">
        <v>75</v>
      </c>
      <c r="B47" s="7">
        <v>2</v>
      </c>
      <c r="C47" s="1">
        <v>22</v>
      </c>
      <c r="D47" s="4">
        <v>50</v>
      </c>
      <c r="E47" s="4">
        <v>0</v>
      </c>
      <c r="F47" s="4">
        <v>0</v>
      </c>
      <c r="G47" s="4">
        <v>0</v>
      </c>
      <c r="H47" s="4">
        <v>0</v>
      </c>
      <c r="I47" s="4">
        <v>3</v>
      </c>
      <c r="J47" s="4">
        <v>0</v>
      </c>
      <c r="K47" s="4">
        <v>0</v>
      </c>
      <c r="L47" s="4">
        <v>0</v>
      </c>
      <c r="M47" s="4">
        <v>8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12</v>
      </c>
      <c r="AB47" s="4">
        <f t="shared" si="1"/>
        <v>73</v>
      </c>
      <c r="AC47" s="4"/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/>
      <c r="AN47" s="5"/>
      <c r="AO47" s="5"/>
      <c r="AP47" s="4"/>
      <c r="AQ47" s="4"/>
      <c r="AR47" s="4"/>
      <c r="AS47" s="4"/>
      <c r="AT47" s="4"/>
      <c r="AU47" s="4"/>
      <c r="AV47" s="4"/>
      <c r="BA47" t="s">
        <v>9</v>
      </c>
    </row>
    <row r="48" spans="1:57" x14ac:dyDescent="0.2">
      <c r="A48" s="10" t="s">
        <v>75</v>
      </c>
      <c r="B48" s="7">
        <v>2</v>
      </c>
      <c r="C48" s="1">
        <v>23</v>
      </c>
      <c r="D48" s="4">
        <v>64</v>
      </c>
      <c r="E48" s="4">
        <v>0</v>
      </c>
      <c r="F48" s="4">
        <v>0</v>
      </c>
      <c r="G48" s="4">
        <v>4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4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12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f t="shared" si="1"/>
        <v>84</v>
      </c>
      <c r="AC48" s="4"/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/>
      <c r="AN48" s="5"/>
      <c r="AO48" s="5"/>
      <c r="AP48" s="4"/>
      <c r="AQ48" s="4"/>
      <c r="AR48" s="4"/>
      <c r="AS48" s="4"/>
      <c r="AT48" s="4"/>
      <c r="AU48" s="4"/>
      <c r="AV48" s="4"/>
      <c r="BA48" t="s">
        <v>12</v>
      </c>
    </row>
    <row r="49" spans="1:53" x14ac:dyDescent="0.2">
      <c r="A49" s="10" t="s">
        <v>79</v>
      </c>
      <c r="B49" s="1">
        <v>3</v>
      </c>
      <c r="C49" s="1">
        <v>1</v>
      </c>
      <c r="D49" s="4">
        <v>3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137</v>
      </c>
      <c r="W49" s="4">
        <v>50</v>
      </c>
      <c r="X49" s="4">
        <v>0</v>
      </c>
      <c r="Y49" s="4">
        <v>0</v>
      </c>
      <c r="Z49" s="4">
        <v>4</v>
      </c>
      <c r="AA49" s="4">
        <v>0</v>
      </c>
      <c r="AB49" s="4">
        <f t="shared" si="1"/>
        <v>194</v>
      </c>
      <c r="AC49" s="4"/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/>
      <c r="AN49" s="5"/>
      <c r="AO49" s="5"/>
      <c r="AP49" s="4"/>
      <c r="AQ49" s="4"/>
      <c r="AR49" s="4"/>
      <c r="AS49" s="4"/>
      <c r="AT49" s="4"/>
      <c r="AU49" s="4"/>
      <c r="AV49" s="4"/>
    </row>
    <row r="50" spans="1:53" x14ac:dyDescent="0.2">
      <c r="A50" s="10" t="s">
        <v>79</v>
      </c>
      <c r="B50" s="1">
        <v>3</v>
      </c>
      <c r="C50" s="1">
        <v>2</v>
      </c>
      <c r="D50" s="4">
        <v>4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63</v>
      </c>
      <c r="S50" s="4">
        <v>0</v>
      </c>
      <c r="T50" s="4">
        <v>0</v>
      </c>
      <c r="U50" s="4">
        <v>0</v>
      </c>
      <c r="V50" s="4">
        <v>83</v>
      </c>
      <c r="W50" s="4">
        <v>12</v>
      </c>
      <c r="X50" s="4">
        <v>0</v>
      </c>
      <c r="Y50" s="4">
        <v>0</v>
      </c>
      <c r="Z50" s="4">
        <v>0</v>
      </c>
      <c r="AA50" s="4">
        <v>0</v>
      </c>
      <c r="AB50" s="4">
        <f t="shared" si="1"/>
        <v>162</v>
      </c>
      <c r="AC50" s="4"/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/>
      <c r="AN50" s="5"/>
      <c r="AO50" s="5"/>
      <c r="AP50" s="4"/>
      <c r="AQ50" s="4"/>
      <c r="AR50" s="4"/>
      <c r="AS50" s="4"/>
      <c r="AT50" s="4"/>
      <c r="AU50" s="4"/>
      <c r="AV50" s="4"/>
    </row>
    <row r="51" spans="1:53" x14ac:dyDescent="0.2">
      <c r="A51" s="10" t="s">
        <v>80</v>
      </c>
      <c r="B51" s="1">
        <v>3</v>
      </c>
      <c r="C51" s="1">
        <v>3</v>
      </c>
      <c r="D51" s="4">
        <v>2</v>
      </c>
      <c r="E51" s="4">
        <v>4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77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64</v>
      </c>
      <c r="S51" s="4">
        <v>0</v>
      </c>
      <c r="T51" s="4">
        <v>19</v>
      </c>
      <c r="U51" s="4">
        <v>0</v>
      </c>
      <c r="V51" s="4">
        <v>20</v>
      </c>
      <c r="W51" s="4">
        <v>40</v>
      </c>
      <c r="X51" s="4">
        <v>0</v>
      </c>
      <c r="Y51" s="4">
        <v>0</v>
      </c>
      <c r="Z51" s="4">
        <v>4</v>
      </c>
      <c r="AA51" s="4">
        <v>0</v>
      </c>
      <c r="AB51" s="4">
        <f t="shared" si="1"/>
        <v>230</v>
      </c>
      <c r="AC51" s="4"/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/>
      <c r="AN51" s="5"/>
      <c r="AO51" s="5"/>
      <c r="AP51" s="4"/>
      <c r="AQ51" s="4"/>
      <c r="AR51" s="4"/>
      <c r="AS51" s="4"/>
      <c r="AT51" s="4"/>
      <c r="AU51" s="4"/>
      <c r="AV51" s="4"/>
    </row>
    <row r="52" spans="1:53" x14ac:dyDescent="0.2">
      <c r="A52" s="10" t="s">
        <v>80</v>
      </c>
      <c r="B52" s="1">
        <v>3</v>
      </c>
      <c r="C52" s="1">
        <v>4</v>
      </c>
      <c r="D52" s="4">
        <v>4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30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80</v>
      </c>
      <c r="W52" s="4">
        <v>47</v>
      </c>
      <c r="X52" s="4">
        <v>16</v>
      </c>
      <c r="Y52" s="4">
        <v>0</v>
      </c>
      <c r="Z52" s="4">
        <v>22</v>
      </c>
      <c r="AA52" s="4">
        <v>0</v>
      </c>
      <c r="AB52" s="4">
        <f t="shared" si="1"/>
        <v>199</v>
      </c>
      <c r="AC52" s="4"/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/>
      <c r="AN52" s="5"/>
      <c r="AO52" s="5"/>
      <c r="AP52" s="4"/>
      <c r="AQ52" s="4"/>
      <c r="AR52" s="4"/>
      <c r="AS52" s="4"/>
      <c r="AT52" s="4"/>
      <c r="AU52" s="4"/>
      <c r="AV52" s="4"/>
    </row>
    <row r="53" spans="1:53" x14ac:dyDescent="0.2">
      <c r="A53" s="10" t="s">
        <v>81</v>
      </c>
      <c r="B53" s="1">
        <v>3</v>
      </c>
      <c r="C53" s="1">
        <v>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9</v>
      </c>
      <c r="N53" s="4">
        <v>0</v>
      </c>
      <c r="O53" s="4">
        <v>0</v>
      </c>
      <c r="P53" s="4">
        <v>0</v>
      </c>
      <c r="Q53" s="4">
        <v>0</v>
      </c>
      <c r="R53" s="4">
        <v>2</v>
      </c>
      <c r="S53" s="4">
        <v>0</v>
      </c>
      <c r="T53" s="4">
        <v>0</v>
      </c>
      <c r="U53" s="4">
        <v>1</v>
      </c>
      <c r="V53" s="4">
        <v>42</v>
      </c>
      <c r="W53" s="4">
        <v>60</v>
      </c>
      <c r="X53" s="4">
        <v>0</v>
      </c>
      <c r="Y53" s="4">
        <v>1</v>
      </c>
      <c r="Z53" s="4">
        <v>0</v>
      </c>
      <c r="AA53" s="4">
        <v>0</v>
      </c>
      <c r="AB53" s="4">
        <f t="shared" si="1"/>
        <v>115</v>
      </c>
      <c r="AC53" s="4"/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V53" s="4"/>
    </row>
    <row r="54" spans="1:53" x14ac:dyDescent="0.2">
      <c r="A54" s="10" t="s">
        <v>81</v>
      </c>
      <c r="B54" s="1">
        <v>3</v>
      </c>
      <c r="C54" s="1">
        <v>6</v>
      </c>
      <c r="D54" s="4">
        <v>1</v>
      </c>
      <c r="E54" s="4">
        <v>0</v>
      </c>
      <c r="F54" s="4">
        <v>0</v>
      </c>
      <c r="G54" s="4">
        <v>1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</v>
      </c>
      <c r="N54" s="4">
        <v>0</v>
      </c>
      <c r="O54" s="4">
        <v>0</v>
      </c>
      <c r="P54" s="4">
        <v>0</v>
      </c>
      <c r="Q54" s="4">
        <v>0</v>
      </c>
      <c r="R54" s="4">
        <v>1</v>
      </c>
      <c r="S54" s="4">
        <v>0</v>
      </c>
      <c r="T54" s="4">
        <v>0</v>
      </c>
      <c r="U54" s="4">
        <v>0</v>
      </c>
      <c r="V54" s="4">
        <v>95</v>
      </c>
      <c r="W54" s="4">
        <v>96</v>
      </c>
      <c r="X54" s="4">
        <v>0</v>
      </c>
      <c r="Y54" s="4">
        <v>0</v>
      </c>
      <c r="Z54" s="4">
        <v>0</v>
      </c>
      <c r="AA54" s="4">
        <v>1</v>
      </c>
      <c r="AB54" s="4">
        <f t="shared" si="1"/>
        <v>196</v>
      </c>
      <c r="AC54" s="4"/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O54" s="1"/>
      <c r="AP54" s="1"/>
      <c r="AQ54" s="1"/>
      <c r="AW54" s="1"/>
      <c r="AX54" s="1"/>
      <c r="AY54" s="1"/>
      <c r="AZ54" s="1"/>
    </row>
    <row r="55" spans="1:53" x14ac:dyDescent="0.2">
      <c r="A55" s="10" t="s">
        <v>82</v>
      </c>
      <c r="B55" s="1">
        <v>3</v>
      </c>
      <c r="C55" s="1">
        <v>7</v>
      </c>
      <c r="D55" s="4">
        <v>24</v>
      </c>
      <c r="E55" s="4">
        <v>0</v>
      </c>
      <c r="F55" s="4">
        <v>0</v>
      </c>
      <c r="G55" s="4">
        <v>10</v>
      </c>
      <c r="H55" s="4">
        <v>0</v>
      </c>
      <c r="I55" s="4">
        <v>0</v>
      </c>
      <c r="J55" s="4">
        <v>5</v>
      </c>
      <c r="K55" s="4">
        <v>0</v>
      </c>
      <c r="L55" s="4">
        <v>5</v>
      </c>
      <c r="M55" s="4">
        <v>7</v>
      </c>
      <c r="N55" s="4">
        <v>0</v>
      </c>
      <c r="O55" s="4">
        <v>5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42</v>
      </c>
      <c r="X55" s="4">
        <v>0</v>
      </c>
      <c r="Y55" s="4">
        <v>0</v>
      </c>
      <c r="Z55" s="4">
        <v>0</v>
      </c>
      <c r="AA55" s="4">
        <v>6</v>
      </c>
      <c r="AB55" s="4">
        <f t="shared" si="1"/>
        <v>104</v>
      </c>
      <c r="AC55" s="4"/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V55" s="4"/>
      <c r="BA55" t="s">
        <v>12</v>
      </c>
    </row>
    <row r="56" spans="1:53" x14ac:dyDescent="0.2">
      <c r="A56" s="10" t="s">
        <v>82</v>
      </c>
      <c r="B56" s="1">
        <v>3</v>
      </c>
      <c r="C56" s="1">
        <v>8</v>
      </c>
      <c r="D56" s="1">
        <v>3</v>
      </c>
      <c r="E56" s="1">
        <v>0</v>
      </c>
      <c r="F56" s="1">
        <v>0</v>
      </c>
      <c r="G56" s="1">
        <v>13</v>
      </c>
      <c r="H56" s="1">
        <v>0</v>
      </c>
      <c r="I56" s="4">
        <v>0</v>
      </c>
      <c r="J56" s="1">
        <v>0</v>
      </c>
      <c r="K56" s="1">
        <v>0</v>
      </c>
      <c r="L56" s="1">
        <v>0</v>
      </c>
      <c r="M56" s="1">
        <v>3</v>
      </c>
      <c r="N56" s="4">
        <v>0</v>
      </c>
      <c r="O56" s="1">
        <v>0</v>
      </c>
      <c r="P56" s="1">
        <v>0</v>
      </c>
      <c r="Q56" s="1">
        <v>0</v>
      </c>
      <c r="R56" s="1">
        <v>5</v>
      </c>
      <c r="S56" s="1">
        <v>0</v>
      </c>
      <c r="T56" s="1">
        <v>0</v>
      </c>
      <c r="U56" s="1">
        <v>0</v>
      </c>
      <c r="V56" s="1">
        <v>0</v>
      </c>
      <c r="W56" s="1">
        <v>48</v>
      </c>
      <c r="X56" s="1">
        <v>0</v>
      </c>
      <c r="Y56" s="1">
        <v>0</v>
      </c>
      <c r="Z56" s="1">
        <v>1</v>
      </c>
      <c r="AA56" s="1">
        <v>28</v>
      </c>
      <c r="AB56" s="4">
        <f t="shared" si="1"/>
        <v>101</v>
      </c>
      <c r="AD56" s="4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2</v>
      </c>
      <c r="BA56" t="s">
        <v>10</v>
      </c>
    </row>
    <row r="57" spans="1:53" x14ac:dyDescent="0.2">
      <c r="A57" s="10" t="s">
        <v>83</v>
      </c>
      <c r="B57" s="1">
        <v>3</v>
      </c>
      <c r="C57" s="1">
        <v>9</v>
      </c>
      <c r="D57" s="1">
        <v>40</v>
      </c>
      <c r="E57" s="1">
        <v>0</v>
      </c>
      <c r="F57" s="1">
        <v>0</v>
      </c>
      <c r="G57" s="1">
        <v>0</v>
      </c>
      <c r="H57" s="1">
        <v>0</v>
      </c>
      <c r="I57" s="4">
        <v>3</v>
      </c>
      <c r="J57" s="1">
        <v>0</v>
      </c>
      <c r="K57" s="1">
        <v>0</v>
      </c>
      <c r="L57" s="1">
        <v>0</v>
      </c>
      <c r="M57" s="1">
        <v>4</v>
      </c>
      <c r="N57" s="4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20</v>
      </c>
      <c r="W57" s="1">
        <v>30</v>
      </c>
      <c r="X57" s="1">
        <v>0</v>
      </c>
      <c r="Y57" s="1">
        <v>0</v>
      </c>
      <c r="Z57" s="1">
        <v>0</v>
      </c>
      <c r="AA57" s="1">
        <v>20</v>
      </c>
      <c r="AB57" s="4">
        <f t="shared" si="1"/>
        <v>117</v>
      </c>
      <c r="AD57" s="4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</v>
      </c>
      <c r="AJ57" s="1">
        <v>0</v>
      </c>
      <c r="AK57" s="1">
        <v>0</v>
      </c>
      <c r="AL57" s="1">
        <v>0</v>
      </c>
    </row>
    <row r="58" spans="1:53" x14ac:dyDescent="0.2">
      <c r="A58" s="10" t="s">
        <v>83</v>
      </c>
      <c r="B58" s="1">
        <v>3</v>
      </c>
      <c r="C58" s="1">
        <v>10</v>
      </c>
      <c r="D58" s="1">
        <v>40</v>
      </c>
      <c r="E58" s="1">
        <v>0</v>
      </c>
      <c r="F58" s="1">
        <v>0</v>
      </c>
      <c r="G58" s="1">
        <v>0</v>
      </c>
      <c r="H58" s="1">
        <v>0</v>
      </c>
      <c r="I58" s="4">
        <v>0</v>
      </c>
      <c r="J58" s="1">
        <v>0</v>
      </c>
      <c r="K58" s="1">
        <v>0</v>
      </c>
      <c r="L58" s="1">
        <v>0</v>
      </c>
      <c r="M58" s="1">
        <v>0</v>
      </c>
      <c r="N58" s="4">
        <v>0</v>
      </c>
      <c r="O58" s="1">
        <v>0</v>
      </c>
      <c r="P58" s="1">
        <v>0</v>
      </c>
      <c r="Q58" s="1">
        <v>0</v>
      </c>
      <c r="R58" s="1">
        <v>40</v>
      </c>
      <c r="S58" s="1">
        <v>0</v>
      </c>
      <c r="T58" s="1">
        <v>0</v>
      </c>
      <c r="U58" s="1">
        <v>0</v>
      </c>
      <c r="V58" s="1">
        <v>30</v>
      </c>
      <c r="W58" s="1">
        <v>100</v>
      </c>
      <c r="X58" s="1">
        <v>0</v>
      </c>
      <c r="Y58" s="1">
        <v>0</v>
      </c>
      <c r="Z58" s="1">
        <v>0</v>
      </c>
      <c r="AA58" s="1">
        <v>0</v>
      </c>
      <c r="AB58" s="4">
        <f t="shared" si="1"/>
        <v>210</v>
      </c>
      <c r="AD58" s="4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53" x14ac:dyDescent="0.2">
      <c r="A59" s="10" t="s">
        <v>83</v>
      </c>
      <c r="B59" s="1">
        <v>3</v>
      </c>
      <c r="C59" s="1">
        <v>11</v>
      </c>
      <c r="D59" s="1">
        <v>30</v>
      </c>
      <c r="E59" s="1">
        <v>0</v>
      </c>
      <c r="F59" s="1">
        <v>0</v>
      </c>
      <c r="G59" s="1">
        <v>0</v>
      </c>
      <c r="H59" s="1">
        <v>0</v>
      </c>
      <c r="I59" s="4">
        <v>0</v>
      </c>
      <c r="J59" s="1">
        <v>0</v>
      </c>
      <c r="K59" s="1">
        <v>0</v>
      </c>
      <c r="L59" s="1">
        <v>0</v>
      </c>
      <c r="M59" s="1">
        <v>16</v>
      </c>
      <c r="N59" s="4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10</v>
      </c>
      <c r="W59" s="1">
        <v>80</v>
      </c>
      <c r="X59" s="1">
        <v>8</v>
      </c>
      <c r="Y59" s="1">
        <v>0</v>
      </c>
      <c r="Z59" s="1">
        <v>6</v>
      </c>
      <c r="AA59" s="1">
        <v>0</v>
      </c>
      <c r="AB59" s="4">
        <f t="shared" si="1"/>
        <v>150</v>
      </c>
      <c r="AD59" s="4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</row>
    <row r="60" spans="1:53" x14ac:dyDescent="0.2">
      <c r="A60" s="10" t="s">
        <v>84</v>
      </c>
      <c r="B60" s="1">
        <v>3</v>
      </c>
      <c r="C60" s="1">
        <v>12</v>
      </c>
      <c r="D60" s="1">
        <v>8</v>
      </c>
      <c r="E60" s="1">
        <v>0</v>
      </c>
      <c r="F60" s="1">
        <v>0</v>
      </c>
      <c r="G60" s="1">
        <v>0</v>
      </c>
      <c r="H60" s="1">
        <v>0</v>
      </c>
      <c r="I60" s="4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5</v>
      </c>
      <c r="S60" s="1">
        <v>0</v>
      </c>
      <c r="T60" s="1">
        <v>1</v>
      </c>
      <c r="U60" s="1">
        <v>0</v>
      </c>
      <c r="V60" s="1">
        <v>28</v>
      </c>
      <c r="W60" s="1">
        <v>40</v>
      </c>
      <c r="X60" s="1">
        <v>0</v>
      </c>
      <c r="Y60" s="1">
        <v>0</v>
      </c>
      <c r="Z60" s="1">
        <v>0</v>
      </c>
      <c r="AA60" s="1">
        <v>18</v>
      </c>
      <c r="AB60" s="4">
        <f t="shared" si="1"/>
        <v>100</v>
      </c>
      <c r="AD60" s="4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53" x14ac:dyDescent="0.2">
      <c r="A61" s="10" t="s">
        <v>84</v>
      </c>
      <c r="B61" s="1">
        <v>3</v>
      </c>
      <c r="C61" s="1">
        <v>13</v>
      </c>
      <c r="D61" s="1">
        <v>15</v>
      </c>
      <c r="E61" s="1">
        <v>0</v>
      </c>
      <c r="F61" s="1">
        <v>0</v>
      </c>
      <c r="G61" s="1">
        <v>4</v>
      </c>
      <c r="H61" s="1">
        <v>4</v>
      </c>
      <c r="I61" s="4">
        <v>0</v>
      </c>
      <c r="J61" s="1">
        <v>0</v>
      </c>
      <c r="K61" s="1">
        <v>0</v>
      </c>
      <c r="L61" s="1">
        <v>0</v>
      </c>
      <c r="M61" s="1">
        <v>0</v>
      </c>
      <c r="N61" s="1">
        <v>15</v>
      </c>
      <c r="O61" s="1">
        <v>0</v>
      </c>
      <c r="P61" s="1">
        <v>0</v>
      </c>
      <c r="Q61" s="1">
        <v>0</v>
      </c>
      <c r="R61" s="1">
        <v>4</v>
      </c>
      <c r="S61" s="1">
        <v>0</v>
      </c>
      <c r="T61" s="1">
        <v>0</v>
      </c>
      <c r="U61" s="1">
        <v>0</v>
      </c>
      <c r="V61" s="1">
        <v>30</v>
      </c>
      <c r="W61" s="1">
        <v>60</v>
      </c>
      <c r="X61" s="1">
        <v>0</v>
      </c>
      <c r="Y61" s="1">
        <v>0</v>
      </c>
      <c r="Z61" s="1">
        <v>10</v>
      </c>
      <c r="AA61" s="1">
        <v>0</v>
      </c>
      <c r="AB61" s="4">
        <f t="shared" si="1"/>
        <v>142</v>
      </c>
      <c r="AD61" s="4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2" spans="1:53" x14ac:dyDescent="0.2">
      <c r="A62" s="10" t="s">
        <v>85</v>
      </c>
      <c r="B62" s="1">
        <v>3</v>
      </c>
      <c r="C62" s="1">
        <v>14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4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7</v>
      </c>
      <c r="S62" s="1">
        <v>0</v>
      </c>
      <c r="T62" s="1">
        <v>0</v>
      </c>
      <c r="U62" s="1">
        <v>0</v>
      </c>
      <c r="V62" s="1">
        <v>60</v>
      </c>
      <c r="W62" s="1">
        <v>40</v>
      </c>
      <c r="X62" s="1">
        <v>0</v>
      </c>
      <c r="Y62" s="1">
        <v>0</v>
      </c>
      <c r="Z62" s="1">
        <v>0</v>
      </c>
      <c r="AA62" s="1">
        <v>0</v>
      </c>
      <c r="AB62" s="4">
        <f t="shared" si="1"/>
        <v>108</v>
      </c>
      <c r="AD62" s="4">
        <v>0</v>
      </c>
      <c r="AE62" s="1">
        <v>0</v>
      </c>
      <c r="AF62" s="1">
        <v>0</v>
      </c>
      <c r="AG62" s="1">
        <v>0</v>
      </c>
      <c r="AH62" s="1">
        <v>0</v>
      </c>
      <c r="AI62" s="1">
        <v>2</v>
      </c>
      <c r="AJ62" s="1">
        <v>0</v>
      </c>
      <c r="AK62" s="1">
        <v>0</v>
      </c>
      <c r="AL62" s="1">
        <v>0</v>
      </c>
    </row>
    <row r="63" spans="1:53" x14ac:dyDescent="0.2">
      <c r="A63" s="10" t="s">
        <v>85</v>
      </c>
      <c r="B63" s="1">
        <v>3</v>
      </c>
      <c r="C63" s="1">
        <v>15</v>
      </c>
      <c r="D63" s="1">
        <v>32</v>
      </c>
      <c r="E63" s="1">
        <v>0</v>
      </c>
      <c r="F63" s="1">
        <v>0</v>
      </c>
      <c r="G63" s="1">
        <v>24</v>
      </c>
      <c r="H63" s="1">
        <v>0</v>
      </c>
      <c r="I63" s="4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4</v>
      </c>
      <c r="R63" s="1">
        <v>12</v>
      </c>
      <c r="S63" s="1">
        <v>0</v>
      </c>
      <c r="T63" s="1">
        <v>0</v>
      </c>
      <c r="U63" s="1">
        <v>4</v>
      </c>
      <c r="V63" s="1">
        <v>8</v>
      </c>
      <c r="W63" s="1">
        <v>24</v>
      </c>
      <c r="X63" s="1">
        <v>0</v>
      </c>
      <c r="Y63" s="1">
        <v>0</v>
      </c>
      <c r="Z63" s="1">
        <v>0</v>
      </c>
      <c r="AA63" s="1">
        <v>0</v>
      </c>
      <c r="AB63" s="4">
        <f t="shared" si="1"/>
        <v>108</v>
      </c>
      <c r="AD63" s="1">
        <v>4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</row>
    <row r="64" spans="1:53" x14ac:dyDescent="0.2">
      <c r="A64" s="10" t="s">
        <v>47</v>
      </c>
      <c r="B64" s="1">
        <v>3</v>
      </c>
      <c r="C64" s="1">
        <v>16</v>
      </c>
      <c r="D64" s="1">
        <v>12</v>
      </c>
      <c r="E64" s="1">
        <v>0</v>
      </c>
      <c r="F64" s="1">
        <v>0</v>
      </c>
      <c r="G64" s="1">
        <v>37</v>
      </c>
      <c r="H64" s="1">
        <v>0</v>
      </c>
      <c r="I64" s="4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11</v>
      </c>
      <c r="W64" s="1">
        <v>40</v>
      </c>
      <c r="X64" s="1">
        <v>0</v>
      </c>
      <c r="Y64" s="1">
        <v>0</v>
      </c>
      <c r="Z64" s="1">
        <v>0</v>
      </c>
      <c r="AA64" s="1">
        <v>0</v>
      </c>
      <c r="AB64" s="4">
        <f t="shared" si="1"/>
        <v>100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2">
      <c r="A65" s="10" t="s">
        <v>47</v>
      </c>
      <c r="B65" s="1">
        <v>3</v>
      </c>
      <c r="C65" s="1">
        <v>17</v>
      </c>
      <c r="D65" s="1">
        <v>2</v>
      </c>
      <c r="E65" s="1">
        <v>8</v>
      </c>
      <c r="F65" s="1">
        <v>0</v>
      </c>
      <c r="G65" s="1">
        <v>20</v>
      </c>
      <c r="H65" s="1">
        <v>0</v>
      </c>
      <c r="I65" s="4">
        <v>0</v>
      </c>
      <c r="J65" s="1">
        <v>0</v>
      </c>
      <c r="K65" s="1">
        <v>0</v>
      </c>
      <c r="L65" s="1">
        <v>16</v>
      </c>
      <c r="M65" s="1">
        <v>0</v>
      </c>
      <c r="N65" s="1">
        <v>0</v>
      </c>
      <c r="O65" s="1">
        <v>0</v>
      </c>
      <c r="P65" s="1">
        <v>0</v>
      </c>
      <c r="Q65" s="1">
        <v>6</v>
      </c>
      <c r="R65" s="1">
        <v>9</v>
      </c>
      <c r="S65" s="1">
        <v>0</v>
      </c>
      <c r="T65" s="1">
        <v>0</v>
      </c>
      <c r="U65" s="1">
        <v>0</v>
      </c>
      <c r="V65" s="1">
        <v>12</v>
      </c>
      <c r="W65" s="1">
        <v>30</v>
      </c>
      <c r="X65" s="1">
        <v>0</v>
      </c>
      <c r="Y65" s="1">
        <v>0</v>
      </c>
      <c r="Z65" s="1">
        <v>1</v>
      </c>
      <c r="AA65" s="1">
        <v>0</v>
      </c>
      <c r="AB65" s="4">
        <f t="shared" si="1"/>
        <v>104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2</v>
      </c>
      <c r="AJ65" s="1">
        <v>0</v>
      </c>
      <c r="AK65" s="1">
        <v>0</v>
      </c>
      <c r="AL65" s="1">
        <v>0</v>
      </c>
    </row>
    <row r="66" spans="1:38" x14ac:dyDescent="0.2">
      <c r="A66" s="10" t="s">
        <v>87</v>
      </c>
      <c r="B66" s="1">
        <v>3</v>
      </c>
      <c r="C66" s="1">
        <v>18</v>
      </c>
      <c r="D66" s="1">
        <v>10</v>
      </c>
      <c r="E66" s="1">
        <v>0</v>
      </c>
      <c r="F66" s="1">
        <v>0</v>
      </c>
      <c r="G66" s="1">
        <v>0</v>
      </c>
      <c r="H66" s="1">
        <v>0</v>
      </c>
      <c r="I66" s="4">
        <v>0</v>
      </c>
      <c r="J66" s="1">
        <v>0</v>
      </c>
      <c r="K66" s="1">
        <v>0</v>
      </c>
      <c r="L66" s="1">
        <v>15</v>
      </c>
      <c r="M66" s="1">
        <v>0</v>
      </c>
      <c r="N66" s="1">
        <v>0</v>
      </c>
      <c r="O66" s="1">
        <v>8</v>
      </c>
      <c r="P66" s="1">
        <v>10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40</v>
      </c>
      <c r="X66" s="1">
        <v>0</v>
      </c>
      <c r="Y66" s="1">
        <v>15</v>
      </c>
      <c r="Z66" s="1">
        <v>0</v>
      </c>
      <c r="AA66" s="1">
        <v>0</v>
      </c>
      <c r="AB66" s="4">
        <f t="shared" si="1"/>
        <v>98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1</v>
      </c>
      <c r="AJ66" s="1">
        <v>0</v>
      </c>
      <c r="AK66" s="1">
        <v>0</v>
      </c>
      <c r="AL66" s="1">
        <v>0</v>
      </c>
    </row>
    <row r="67" spans="1:38" x14ac:dyDescent="0.2">
      <c r="A67" s="10" t="s">
        <v>87</v>
      </c>
      <c r="B67" s="1">
        <v>3</v>
      </c>
      <c r="C67" s="1">
        <v>19</v>
      </c>
      <c r="D67" s="1">
        <v>2</v>
      </c>
      <c r="E67" s="1">
        <v>0</v>
      </c>
      <c r="F67" s="1">
        <v>0</v>
      </c>
      <c r="G67" s="1">
        <v>0</v>
      </c>
      <c r="H67" s="1">
        <v>0</v>
      </c>
      <c r="I67" s="4">
        <v>0</v>
      </c>
      <c r="J67" s="1">
        <v>0</v>
      </c>
      <c r="K67" s="1">
        <v>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2</v>
      </c>
      <c r="U67" s="1">
        <v>0</v>
      </c>
      <c r="V67" s="1">
        <v>30</v>
      </c>
      <c r="W67" s="1">
        <v>50</v>
      </c>
      <c r="X67" s="1">
        <v>0</v>
      </c>
      <c r="Y67" s="1">
        <v>0</v>
      </c>
      <c r="Z67" s="1">
        <v>4</v>
      </c>
      <c r="AA67" s="1">
        <v>0</v>
      </c>
      <c r="AB67" s="4">
        <f t="shared" ref="AB67:AB71" si="2">SUM(D67:AA67)</f>
        <v>92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 x14ac:dyDescent="0.2">
      <c r="A68" s="10" t="s">
        <v>88</v>
      </c>
      <c r="B68" s="1">
        <v>3</v>
      </c>
      <c r="C68" s="1">
        <v>20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4">
        <v>0</v>
      </c>
      <c r="J68" s="1">
        <v>0</v>
      </c>
      <c r="K68" s="1">
        <v>0</v>
      </c>
      <c r="L68" s="1">
        <v>15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15</v>
      </c>
      <c r="U68" s="1">
        <v>0</v>
      </c>
      <c r="V68" s="1">
        <v>60</v>
      </c>
      <c r="W68" s="1">
        <v>15</v>
      </c>
      <c r="X68" s="1">
        <v>0</v>
      </c>
      <c r="Y68" s="1">
        <v>0</v>
      </c>
      <c r="Z68" s="1">
        <v>0</v>
      </c>
      <c r="AA68" s="1">
        <v>0</v>
      </c>
      <c r="AB68" s="4">
        <f t="shared" si="2"/>
        <v>105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</row>
    <row r="69" spans="1:38" x14ac:dyDescent="0.2">
      <c r="A69" s="10" t="s">
        <v>88</v>
      </c>
      <c r="B69" s="1">
        <v>3</v>
      </c>
      <c r="C69" s="1">
        <v>21</v>
      </c>
      <c r="D69" s="1">
        <v>3</v>
      </c>
      <c r="E69" s="1">
        <v>0</v>
      </c>
      <c r="F69" s="1">
        <v>0</v>
      </c>
      <c r="G69" s="1">
        <v>0</v>
      </c>
      <c r="H69" s="1">
        <v>0</v>
      </c>
      <c r="I69" s="1">
        <v>30</v>
      </c>
      <c r="J69" s="1">
        <v>0</v>
      </c>
      <c r="K69" s="1">
        <v>0</v>
      </c>
      <c r="L69" s="1">
        <v>20</v>
      </c>
      <c r="M69" s="1">
        <v>5</v>
      </c>
      <c r="N69" s="1">
        <v>0</v>
      </c>
      <c r="O69" s="1">
        <v>0</v>
      </c>
      <c r="P69" s="1">
        <v>0</v>
      </c>
      <c r="Q69" s="1">
        <v>0</v>
      </c>
      <c r="R69" s="1">
        <v>30</v>
      </c>
      <c r="S69" s="1">
        <v>0</v>
      </c>
      <c r="T69" s="1">
        <v>0</v>
      </c>
      <c r="U69" s="1">
        <v>0</v>
      </c>
      <c r="V69" s="1">
        <v>0</v>
      </c>
      <c r="W69" s="1">
        <v>10</v>
      </c>
      <c r="X69" s="1">
        <v>0</v>
      </c>
      <c r="Y69" s="1">
        <v>0</v>
      </c>
      <c r="Z69" s="1">
        <v>35</v>
      </c>
      <c r="AA69" s="1">
        <v>0</v>
      </c>
      <c r="AB69" s="4">
        <f t="shared" si="2"/>
        <v>133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3</v>
      </c>
      <c r="AJ69" s="1">
        <v>0</v>
      </c>
      <c r="AK69" s="1">
        <v>0</v>
      </c>
      <c r="AL69" s="1">
        <v>0</v>
      </c>
    </row>
    <row r="70" spans="1:38" x14ac:dyDescent="0.2">
      <c r="A70" s="10" t="s">
        <v>90</v>
      </c>
      <c r="B70" s="1">
        <v>3</v>
      </c>
      <c r="C70" s="1">
        <v>22</v>
      </c>
      <c r="D70" s="1">
        <v>4</v>
      </c>
      <c r="E70" s="1">
        <v>0</v>
      </c>
      <c r="F70" s="1">
        <v>0</v>
      </c>
      <c r="G70" s="1">
        <v>8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80</v>
      </c>
      <c r="X70" s="1">
        <v>0</v>
      </c>
      <c r="Y70" s="1">
        <v>0</v>
      </c>
      <c r="Z70" s="1">
        <v>2</v>
      </c>
      <c r="AA70" s="1">
        <v>0</v>
      </c>
      <c r="AB70" s="4">
        <f t="shared" si="2"/>
        <v>94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5</v>
      </c>
      <c r="AJ70" s="1">
        <v>0</v>
      </c>
      <c r="AK70" s="1">
        <v>0</v>
      </c>
      <c r="AL70" s="1">
        <v>0</v>
      </c>
    </row>
    <row r="71" spans="1:38" x14ac:dyDescent="0.2">
      <c r="A71" s="10" t="s">
        <v>90</v>
      </c>
      <c r="B71" s="1">
        <v>3</v>
      </c>
      <c r="C71" s="1">
        <v>23</v>
      </c>
      <c r="D71" s="1">
        <v>26</v>
      </c>
      <c r="E71" s="1">
        <v>0</v>
      </c>
      <c r="F71" s="1">
        <v>0</v>
      </c>
      <c r="G71" s="1">
        <v>20</v>
      </c>
      <c r="H71" s="1">
        <v>0</v>
      </c>
      <c r="I71" s="1">
        <v>0</v>
      </c>
      <c r="J71" s="1">
        <v>0</v>
      </c>
      <c r="K71" s="1">
        <v>0</v>
      </c>
      <c r="L71" s="1">
        <v>2</v>
      </c>
      <c r="M71" s="1">
        <v>2</v>
      </c>
      <c r="N71" s="1">
        <v>0</v>
      </c>
      <c r="O71" s="1">
        <v>5</v>
      </c>
      <c r="P71" s="1">
        <v>0</v>
      </c>
      <c r="Q71" s="1">
        <v>0</v>
      </c>
      <c r="S71" s="1">
        <v>0</v>
      </c>
      <c r="T71" s="1">
        <v>0</v>
      </c>
      <c r="U71" s="1">
        <v>0</v>
      </c>
      <c r="V71" s="1">
        <v>3</v>
      </c>
      <c r="W71" s="1">
        <v>70</v>
      </c>
      <c r="X71" s="1">
        <v>0</v>
      </c>
      <c r="Y71" s="1">
        <v>0</v>
      </c>
      <c r="Z71" s="1">
        <v>0</v>
      </c>
      <c r="AA71" s="1">
        <v>0</v>
      </c>
      <c r="AB71" s="4">
        <f t="shared" si="2"/>
        <v>128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7" spans="1:38" x14ac:dyDescent="0.2">
      <c r="Y77" s="1">
        <f>+Y78</f>
        <v>0</v>
      </c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zoomScale="93" zoomScaleNormal="93" workbookViewId="0">
      <selection activeCell="I2" sqref="I2"/>
    </sheetView>
  </sheetViews>
  <sheetFormatPr baseColWidth="10" defaultColWidth="8.6640625" defaultRowHeight="15" x14ac:dyDescent="0.2"/>
  <cols>
    <col min="1" max="2" width="8.6640625" style="1"/>
    <col min="3" max="3" width="17.5" style="1" customWidth="1"/>
    <col min="4" max="4" width="15.1640625" style="1" customWidth="1"/>
    <col min="5" max="5" width="17.83203125" style="1" customWidth="1"/>
    <col min="6" max="6" width="21.83203125" style="1" customWidth="1"/>
    <col min="7" max="7" width="17.1640625" style="1" customWidth="1"/>
    <col min="8" max="8" width="14.33203125" style="1" customWidth="1"/>
    <col min="9" max="9" width="17.83203125" style="1" customWidth="1"/>
    <col min="10" max="10" width="22.83203125" style="1" bestFit="1" customWidth="1"/>
    <col min="11" max="11" width="12.5" style="1" customWidth="1"/>
    <col min="12" max="16384" width="8.6640625" style="1"/>
  </cols>
  <sheetData>
    <row r="1" spans="1:14" x14ac:dyDescent="0.2">
      <c r="A1" s="1" t="s">
        <v>0</v>
      </c>
      <c r="B1" s="1" t="s">
        <v>17</v>
      </c>
      <c r="C1" s="1" t="s">
        <v>93</v>
      </c>
      <c r="D1" s="1" t="s">
        <v>59</v>
      </c>
      <c r="E1" s="1" t="s">
        <v>60</v>
      </c>
      <c r="F1" s="1" t="s">
        <v>61</v>
      </c>
      <c r="G1" s="17" t="s">
        <v>94</v>
      </c>
      <c r="H1" s="1" t="s">
        <v>95</v>
      </c>
      <c r="I1" s="1" t="s">
        <v>96</v>
      </c>
      <c r="J1" s="1" t="s">
        <v>97</v>
      </c>
      <c r="K1" s="13" t="s">
        <v>30</v>
      </c>
      <c r="L1" s="1" t="s">
        <v>78</v>
      </c>
      <c r="M1" s="1" t="s">
        <v>91</v>
      </c>
      <c r="N1" s="1" t="s">
        <v>92</v>
      </c>
    </row>
    <row r="2" spans="1:14" x14ac:dyDescent="0.2">
      <c r="A2" s="1">
        <v>1</v>
      </c>
      <c r="B2" s="1">
        <v>1</v>
      </c>
      <c r="C2" s="1">
        <v>1</v>
      </c>
      <c r="D2" s="1">
        <v>0</v>
      </c>
      <c r="E2" s="1">
        <v>22</v>
      </c>
      <c r="F2" s="1">
        <v>0</v>
      </c>
      <c r="G2" s="1">
        <v>1</v>
      </c>
      <c r="H2" s="1">
        <v>0</v>
      </c>
      <c r="I2" s="1">
        <v>16</v>
      </c>
      <c r="J2" s="1">
        <v>0</v>
      </c>
      <c r="K2" s="1">
        <v>2</v>
      </c>
      <c r="L2" s="1">
        <v>0</v>
      </c>
      <c r="M2" s="1">
        <v>0</v>
      </c>
      <c r="N2" s="1">
        <v>0</v>
      </c>
    </row>
    <row r="3" spans="1:14" x14ac:dyDescent="0.2">
      <c r="A3" s="1">
        <v>1</v>
      </c>
      <c r="B3" s="1">
        <v>2</v>
      </c>
      <c r="C3" s="1">
        <v>0</v>
      </c>
      <c r="D3" s="1">
        <v>0</v>
      </c>
      <c r="E3" s="1">
        <v>35</v>
      </c>
      <c r="F3" s="1">
        <v>2</v>
      </c>
      <c r="G3" s="1">
        <v>0</v>
      </c>
      <c r="H3" s="1">
        <v>0</v>
      </c>
      <c r="I3" s="1">
        <v>11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2">
      <c r="A4" s="1">
        <v>1</v>
      </c>
      <c r="B4" s="1">
        <v>3</v>
      </c>
      <c r="C4" s="1">
        <v>0</v>
      </c>
      <c r="D4" s="1">
        <v>0</v>
      </c>
      <c r="E4" s="1">
        <v>30</v>
      </c>
      <c r="F4" s="1">
        <v>3</v>
      </c>
      <c r="G4" s="1">
        <v>0</v>
      </c>
      <c r="H4" s="1">
        <v>0</v>
      </c>
      <c r="I4" s="1">
        <v>20</v>
      </c>
      <c r="J4" s="1">
        <v>0</v>
      </c>
      <c r="K4" s="1">
        <v>6</v>
      </c>
      <c r="L4" s="1">
        <v>0</v>
      </c>
      <c r="M4" s="1">
        <v>0</v>
      </c>
      <c r="N4" s="1">
        <v>0</v>
      </c>
    </row>
    <row r="5" spans="1:14" x14ac:dyDescent="0.2">
      <c r="A5" s="1">
        <v>1</v>
      </c>
      <c r="B5" s="1">
        <v>4</v>
      </c>
      <c r="C5" s="1">
        <v>1</v>
      </c>
      <c r="D5" s="1">
        <v>0</v>
      </c>
      <c r="E5" s="1">
        <v>48</v>
      </c>
      <c r="F5" s="1">
        <v>0</v>
      </c>
      <c r="G5" s="1">
        <v>0</v>
      </c>
      <c r="H5" s="1">
        <v>0</v>
      </c>
      <c r="I5" s="1">
        <v>15</v>
      </c>
      <c r="J5" s="1">
        <v>0</v>
      </c>
      <c r="K5" s="1">
        <v>2</v>
      </c>
      <c r="L5" s="1">
        <v>0</v>
      </c>
      <c r="M5" s="1">
        <v>0</v>
      </c>
      <c r="N5" s="1">
        <v>0</v>
      </c>
    </row>
    <row r="6" spans="1:14" x14ac:dyDescent="0.2">
      <c r="A6" s="1">
        <v>2</v>
      </c>
      <c r="B6" s="1">
        <v>1</v>
      </c>
      <c r="C6" s="1">
        <v>0</v>
      </c>
      <c r="D6" s="1">
        <v>0</v>
      </c>
      <c r="E6" s="1">
        <v>18</v>
      </c>
      <c r="F6" s="1">
        <v>0</v>
      </c>
      <c r="G6" s="1">
        <v>1</v>
      </c>
      <c r="H6" s="1">
        <v>0</v>
      </c>
      <c r="I6" s="1">
        <v>15</v>
      </c>
      <c r="J6" s="1">
        <v>0</v>
      </c>
      <c r="K6" s="1">
        <v>2</v>
      </c>
      <c r="L6" s="1">
        <v>0</v>
      </c>
      <c r="M6" s="1">
        <v>0</v>
      </c>
      <c r="N6" s="1">
        <v>0</v>
      </c>
    </row>
    <row r="7" spans="1:14" x14ac:dyDescent="0.2">
      <c r="A7" s="1">
        <v>2</v>
      </c>
      <c r="B7" s="1">
        <v>2</v>
      </c>
      <c r="C7" s="1">
        <v>0</v>
      </c>
      <c r="D7" s="1">
        <v>2</v>
      </c>
      <c r="E7" s="1">
        <v>36</v>
      </c>
      <c r="F7" s="1">
        <v>0</v>
      </c>
      <c r="G7" s="1">
        <v>3</v>
      </c>
      <c r="H7" s="1">
        <v>1</v>
      </c>
      <c r="I7" s="1">
        <v>4</v>
      </c>
      <c r="J7" s="1">
        <v>0</v>
      </c>
      <c r="K7" s="1">
        <v>1</v>
      </c>
      <c r="L7" s="1">
        <v>0</v>
      </c>
      <c r="M7" s="1">
        <v>0</v>
      </c>
      <c r="N7" s="1">
        <v>0</v>
      </c>
    </row>
    <row r="8" spans="1:14" x14ac:dyDescent="0.2">
      <c r="A8" s="1">
        <v>2</v>
      </c>
      <c r="B8" s="1">
        <v>3</v>
      </c>
      <c r="C8" s="1">
        <v>0</v>
      </c>
      <c r="D8" s="1">
        <v>0</v>
      </c>
      <c r="E8" s="1">
        <v>77</v>
      </c>
      <c r="F8" s="1">
        <v>1</v>
      </c>
      <c r="G8" s="1">
        <v>1</v>
      </c>
      <c r="H8" s="1">
        <v>1</v>
      </c>
      <c r="I8" s="1">
        <v>23</v>
      </c>
      <c r="J8" s="1">
        <v>1</v>
      </c>
      <c r="K8" s="1">
        <v>0</v>
      </c>
      <c r="L8" s="1">
        <v>0</v>
      </c>
      <c r="M8" s="1">
        <v>0</v>
      </c>
      <c r="N8" s="1">
        <v>0</v>
      </c>
    </row>
    <row r="9" spans="1:14" x14ac:dyDescent="0.2">
      <c r="A9" s="1">
        <v>2</v>
      </c>
      <c r="B9" s="1">
        <v>4</v>
      </c>
      <c r="C9" s="1">
        <v>1</v>
      </c>
      <c r="D9" s="1">
        <v>1</v>
      </c>
      <c r="E9" s="1">
        <v>18</v>
      </c>
      <c r="F9" s="1">
        <v>1</v>
      </c>
      <c r="G9" s="1">
        <v>7</v>
      </c>
      <c r="H9" s="1">
        <v>0</v>
      </c>
      <c r="I9" s="1">
        <v>41</v>
      </c>
      <c r="J9" s="1">
        <v>0</v>
      </c>
      <c r="K9" s="1">
        <v>3</v>
      </c>
      <c r="L9" s="1">
        <v>1</v>
      </c>
      <c r="M9" s="1">
        <v>0</v>
      </c>
      <c r="N9" s="1">
        <v>0</v>
      </c>
    </row>
    <row r="10" spans="1:14" x14ac:dyDescent="0.2">
      <c r="A10" s="1">
        <v>3</v>
      </c>
      <c r="B10" s="1">
        <v>1</v>
      </c>
      <c r="C10" s="1">
        <v>0</v>
      </c>
      <c r="D10" s="1">
        <v>0</v>
      </c>
      <c r="E10" s="1">
        <v>14</v>
      </c>
      <c r="F10" s="1">
        <v>0</v>
      </c>
      <c r="G10" s="1">
        <v>13</v>
      </c>
      <c r="H10" s="1">
        <v>0</v>
      </c>
      <c r="I10" s="1">
        <v>13</v>
      </c>
      <c r="J10" s="1">
        <v>0</v>
      </c>
      <c r="K10" s="1">
        <v>7</v>
      </c>
      <c r="L10" s="1">
        <v>0</v>
      </c>
      <c r="M10" s="1">
        <v>0</v>
      </c>
      <c r="N10" s="1">
        <v>0</v>
      </c>
    </row>
    <row r="11" spans="1:14" x14ac:dyDescent="0.2">
      <c r="A11" s="1">
        <v>3</v>
      </c>
      <c r="B11" s="1">
        <v>2</v>
      </c>
      <c r="C11" s="1">
        <v>1</v>
      </c>
      <c r="D11" s="1">
        <v>1</v>
      </c>
      <c r="E11" s="1">
        <v>12</v>
      </c>
      <c r="F11" s="1">
        <v>0</v>
      </c>
      <c r="G11" s="1">
        <v>18</v>
      </c>
      <c r="H11" s="1">
        <v>0</v>
      </c>
      <c r="I11" s="1">
        <v>13</v>
      </c>
      <c r="J11" s="1">
        <v>0</v>
      </c>
      <c r="K11" s="1">
        <v>5</v>
      </c>
      <c r="L11" s="1">
        <v>0</v>
      </c>
      <c r="M11" s="1">
        <v>2</v>
      </c>
      <c r="N11" s="1">
        <v>1</v>
      </c>
    </row>
    <row r="12" spans="1:14" x14ac:dyDescent="0.2">
      <c r="A12" s="1">
        <v>3</v>
      </c>
      <c r="B12" s="1">
        <v>3</v>
      </c>
      <c r="C12" s="1">
        <v>2</v>
      </c>
      <c r="D12" s="1">
        <v>0</v>
      </c>
      <c r="E12" s="1">
        <v>6</v>
      </c>
      <c r="F12" s="1">
        <v>0</v>
      </c>
      <c r="G12" s="1">
        <v>9</v>
      </c>
      <c r="H12" s="1">
        <v>0</v>
      </c>
      <c r="I12" s="1">
        <v>15</v>
      </c>
      <c r="J12" s="1">
        <v>0</v>
      </c>
      <c r="K12" s="1">
        <v>3</v>
      </c>
      <c r="L12" s="1">
        <v>0</v>
      </c>
      <c r="M12" s="1">
        <v>0</v>
      </c>
      <c r="N12" s="1">
        <v>0</v>
      </c>
    </row>
    <row r="13" spans="1:14" x14ac:dyDescent="0.2">
      <c r="A13" s="1">
        <v>3</v>
      </c>
      <c r="B13" s="1">
        <v>4</v>
      </c>
      <c r="C13" s="1">
        <v>0</v>
      </c>
      <c r="D13" s="1">
        <v>0</v>
      </c>
      <c r="E13" s="1">
        <v>3</v>
      </c>
      <c r="F13" s="1">
        <v>1</v>
      </c>
      <c r="G13" s="1">
        <v>23</v>
      </c>
      <c r="H13" s="1">
        <v>0</v>
      </c>
      <c r="I13" s="1">
        <v>14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</row>
  </sheetData>
  <phoneticPr fontId="1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B7" sqref="B7"/>
    </sheetView>
  </sheetViews>
  <sheetFormatPr baseColWidth="10" defaultColWidth="11.5" defaultRowHeight="15" x14ac:dyDescent="0.2"/>
  <sheetData>
    <row r="1" spans="1:4" x14ac:dyDescent="0.2">
      <c r="C1" t="s">
        <v>31</v>
      </c>
      <c r="D1" t="s">
        <v>32</v>
      </c>
    </row>
    <row r="2" spans="1:4" x14ac:dyDescent="0.2">
      <c r="A2">
        <v>1</v>
      </c>
      <c r="B2" t="s">
        <v>23</v>
      </c>
      <c r="C2" s="16" t="s">
        <v>33</v>
      </c>
      <c r="D2" s="16" t="s">
        <v>34</v>
      </c>
    </row>
    <row r="3" spans="1:4" x14ac:dyDescent="0.2">
      <c r="A3">
        <v>2</v>
      </c>
      <c r="B3" t="s">
        <v>24</v>
      </c>
      <c r="C3" s="16" t="s">
        <v>35</v>
      </c>
      <c r="D3" s="16" t="s">
        <v>36</v>
      </c>
    </row>
    <row r="4" spans="1:4" x14ac:dyDescent="0.2">
      <c r="A4">
        <v>3</v>
      </c>
      <c r="B4" t="s">
        <v>25</v>
      </c>
      <c r="C4" s="16" t="s">
        <v>37</v>
      </c>
      <c r="D4" s="16" t="s">
        <v>38</v>
      </c>
    </row>
    <row r="6" spans="1:4" x14ac:dyDescent="0.2">
      <c r="A6" t="s">
        <v>107</v>
      </c>
      <c r="B6" t="s">
        <v>108</v>
      </c>
    </row>
    <row r="7" spans="1:4" x14ac:dyDescent="0.2">
      <c r="A7" t="s">
        <v>110</v>
      </c>
      <c r="B7" t="s">
        <v>109</v>
      </c>
    </row>
    <row r="10" spans="1:4" ht="21" x14ac:dyDescent="0.2">
      <c r="C10" s="14"/>
      <c r="D10" s="14"/>
    </row>
    <row r="11" spans="1:4" ht="21" x14ac:dyDescent="0.25">
      <c r="C11" s="15"/>
      <c r="D11" s="14"/>
    </row>
    <row r="12" spans="1:4" ht="21" x14ac:dyDescent="0.2">
      <c r="C12" s="14"/>
    </row>
    <row r="13" spans="1:4" ht="21" x14ac:dyDescent="0.25">
      <c r="C13" s="15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E7E5-325B-1D48-B095-8942BB7FB6F2}">
  <dimension ref="A1:I18"/>
  <sheetViews>
    <sheetView tabSelected="1" workbookViewId="0">
      <selection activeCell="N15" sqref="N15"/>
    </sheetView>
  </sheetViews>
  <sheetFormatPr baseColWidth="10" defaultRowHeight="15" x14ac:dyDescent="0.2"/>
  <cols>
    <col min="1" max="1" width="16.1640625" customWidth="1"/>
    <col min="2" max="2" width="13.33203125" customWidth="1"/>
  </cols>
  <sheetData>
    <row r="1" spans="1:9" x14ac:dyDescent="0.2">
      <c r="A1" t="s">
        <v>126</v>
      </c>
      <c r="B1" t="s">
        <v>140</v>
      </c>
    </row>
    <row r="2" spans="1:9" x14ac:dyDescent="0.2">
      <c r="A2" t="s">
        <v>82</v>
      </c>
      <c r="B2" t="s">
        <v>127</v>
      </c>
    </row>
    <row r="3" spans="1:9" x14ac:dyDescent="0.2">
      <c r="A3" t="s">
        <v>80</v>
      </c>
      <c r="B3" t="s">
        <v>128</v>
      </c>
    </row>
    <row r="4" spans="1:9" x14ac:dyDescent="0.2">
      <c r="A4" t="s">
        <v>130</v>
      </c>
      <c r="B4" t="s">
        <v>129</v>
      </c>
    </row>
    <row r="5" spans="1:9" x14ac:dyDescent="0.2">
      <c r="A5" t="s">
        <v>73</v>
      </c>
      <c r="B5" t="s">
        <v>131</v>
      </c>
    </row>
    <row r="6" spans="1:9" x14ac:dyDescent="0.2">
      <c r="A6" t="s">
        <v>64</v>
      </c>
      <c r="B6" t="s">
        <v>137</v>
      </c>
    </row>
    <row r="7" spans="1:9" x14ac:dyDescent="0.2">
      <c r="A7" t="s">
        <v>133</v>
      </c>
      <c r="B7" t="s">
        <v>132</v>
      </c>
    </row>
    <row r="8" spans="1:9" x14ac:dyDescent="0.2">
      <c r="A8" t="s">
        <v>47</v>
      </c>
      <c r="B8" t="s">
        <v>134</v>
      </c>
    </row>
    <row r="9" spans="1:9" x14ac:dyDescent="0.2">
      <c r="A9" t="s">
        <v>50</v>
      </c>
      <c r="B9" t="s">
        <v>135</v>
      </c>
    </row>
    <row r="10" spans="1:9" x14ac:dyDescent="0.2">
      <c r="A10" t="s">
        <v>63</v>
      </c>
      <c r="B10" t="s">
        <v>141</v>
      </c>
    </row>
    <row r="11" spans="1:9" x14ac:dyDescent="0.2">
      <c r="A11" t="s">
        <v>81</v>
      </c>
      <c r="B11" t="s">
        <v>138</v>
      </c>
    </row>
    <row r="12" spans="1:9" x14ac:dyDescent="0.2">
      <c r="A12" t="s">
        <v>41</v>
      </c>
      <c r="B12" t="s">
        <v>139</v>
      </c>
    </row>
    <row r="13" spans="1:9" x14ac:dyDescent="0.2">
      <c r="A13" t="s">
        <v>43</v>
      </c>
      <c r="B13" t="s">
        <v>142</v>
      </c>
    </row>
    <row r="14" spans="1:9" x14ac:dyDescent="0.2">
      <c r="A14" t="s">
        <v>39</v>
      </c>
      <c r="B14" t="s">
        <v>136</v>
      </c>
    </row>
    <row r="15" spans="1:9" x14ac:dyDescent="0.2">
      <c r="I15">
        <v>33</v>
      </c>
    </row>
    <row r="16" spans="1:9" x14ac:dyDescent="0.2">
      <c r="I16">
        <v>28</v>
      </c>
    </row>
    <row r="17" spans="9:9" x14ac:dyDescent="0.2">
      <c r="I17">
        <v>16</v>
      </c>
    </row>
    <row r="18" spans="9:9" x14ac:dyDescent="0.2">
      <c r="I18">
        <f>SUM(I15:I17)</f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ricoprimento%</vt:lpstr>
      <vt:lpstr>Fauna associata</vt:lpstr>
      <vt:lpstr>metadata</vt:lpstr>
      <vt:lpstr>tesine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cp:keywords/>
  <dc:description/>
  <cp:lastModifiedBy>Microsoft Office User</cp:lastModifiedBy>
  <cp:revision/>
  <dcterms:created xsi:type="dcterms:W3CDTF">2020-09-15T12:50:52Z</dcterms:created>
  <dcterms:modified xsi:type="dcterms:W3CDTF">2021-06-11T14:14:53Z</dcterms:modified>
  <cp:category/>
  <cp:contentStatus/>
</cp:coreProperties>
</file>