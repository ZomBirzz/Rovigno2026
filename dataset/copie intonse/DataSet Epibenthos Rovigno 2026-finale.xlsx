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barbara_mikac_unibo_it/Documents/Documents/Università Bologna/Didattica/Laboratorio sperimentale in mare/Datasets/"/>
    </mc:Choice>
  </mc:AlternateContent>
  <xr:revisionPtr revIDLastSave="106" documentId="8_{86E7DD66-3002-44B0-91AA-737892DF98EF}" xr6:coauthVersionLast="47" xr6:coauthVersionMax="47" xr10:uidLastSave="{A08E52A0-6E4E-4E20-B2F7-396F44B9F82E}"/>
  <bookViews>
    <workbookView xWindow="-110" yWindow="-110" windowWidth="19420" windowHeight="11500" xr2:uid="{00000000-000D-0000-FFFF-FFFF00000000}"/>
  </bookViews>
  <sheets>
    <sheet name="Foglio1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8" i="1" l="1"/>
  <c r="X108" i="1"/>
  <c r="X109" i="1"/>
  <c r="X110" i="1"/>
  <c r="X111" i="1"/>
  <c r="X112" i="1"/>
  <c r="X107" i="1"/>
  <c r="X115" i="1"/>
  <c r="X106" i="1"/>
  <c r="X114" i="1"/>
  <c r="X113" i="1"/>
  <c r="X105" i="1"/>
  <c r="X118" i="1"/>
  <c r="X103" i="1"/>
  <c r="X117" i="1"/>
  <c r="X116" i="1"/>
  <c r="X104" i="1"/>
  <c r="X10" i="1"/>
  <c r="X4" i="1"/>
  <c r="X5" i="1"/>
  <c r="X6" i="1"/>
  <c r="X7" i="1"/>
  <c r="X8" i="1"/>
  <c r="X9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3" i="1"/>
  <c r="X2" i="1"/>
  <c r="X102" i="1"/>
  <c r="X101" i="1"/>
  <c r="X100" i="1"/>
  <c r="X99" i="1"/>
  <c r="X98" i="1"/>
  <c r="X97" i="1"/>
  <c r="X96" i="1"/>
  <c r="X89" i="1"/>
  <c r="X90" i="1"/>
  <c r="X91" i="1"/>
  <c r="X92" i="1"/>
  <c r="X93" i="1"/>
  <c r="X94" i="1"/>
  <c r="X95" i="1"/>
  <c r="X80" i="1"/>
  <c r="X81" i="1"/>
  <c r="X82" i="1"/>
  <c r="X83" i="1"/>
  <c r="X84" i="1"/>
  <c r="X85" i="1"/>
  <c r="X86" i="1"/>
  <c r="X87" i="1"/>
</calcChain>
</file>

<file path=xl/sharedStrings.xml><?xml version="1.0" encoding="utf-8"?>
<sst xmlns="http://schemas.openxmlformats.org/spreadsheetml/2006/main" count="290" uniqueCount="98">
  <si>
    <t>Sperimentatore</t>
  </si>
  <si>
    <t>Sito</t>
  </si>
  <si>
    <t>Repliche</t>
  </si>
  <si>
    <t>Acetabularia acetabulum</t>
  </si>
  <si>
    <t>Amphiroa rigida</t>
  </si>
  <si>
    <t>Codium bursa</t>
  </si>
  <si>
    <r>
      <rPr>
        <i/>
        <sz val="10"/>
        <color theme="1"/>
        <rFont val="Arial"/>
        <family val="2"/>
        <scheme val="minor"/>
      </rPr>
      <t>Codium</t>
    </r>
    <r>
      <rPr>
        <sz val="10"/>
        <color theme="1"/>
        <rFont val="Arial"/>
        <family val="2"/>
        <scheme val="minor"/>
      </rPr>
      <t xml:space="preserve"> sp.</t>
    </r>
  </si>
  <si>
    <t>Corallinaceae</t>
  </si>
  <si>
    <t>Dictyota dichotoma</t>
  </si>
  <si>
    <t>Flabellia petiolata</t>
  </si>
  <si>
    <r>
      <rPr>
        <i/>
        <sz val="10"/>
        <color rgb="FF000000"/>
        <rFont val="Arial"/>
        <family val="2"/>
        <scheme val="minor"/>
      </rPr>
      <t xml:space="preserve">Gelidium </t>
    </r>
    <r>
      <rPr>
        <sz val="10"/>
        <color rgb="FF000000"/>
        <rFont val="Arial"/>
        <family val="2"/>
        <scheme val="minor"/>
      </rPr>
      <t>sp.</t>
    </r>
  </si>
  <si>
    <t>Halimeda tuna</t>
  </si>
  <si>
    <r>
      <t>Jania</t>
    </r>
    <r>
      <rPr>
        <sz val="10"/>
        <color theme="1"/>
        <rFont val="Arial"/>
        <family val="2"/>
        <scheme val="minor"/>
      </rPr>
      <t xml:space="preserve"> sp.</t>
    </r>
  </si>
  <si>
    <t>Laurencia obtusa</t>
  </si>
  <si>
    <t>Padina pavonica</t>
  </si>
  <si>
    <t>Feltro algale</t>
  </si>
  <si>
    <t>Aplysina aerophoba</t>
  </si>
  <si>
    <r>
      <rPr>
        <i/>
        <sz val="10"/>
        <color theme="1"/>
        <rFont val="Arial"/>
        <family val="2"/>
        <scheme val="minor"/>
      </rPr>
      <t>Ircinia</t>
    </r>
    <r>
      <rPr>
        <sz val="10"/>
        <color theme="1"/>
        <rFont val="Arial"/>
        <family val="2"/>
        <scheme val="minor"/>
      </rPr>
      <t xml:space="preserve"> sp.</t>
    </r>
  </si>
  <si>
    <t>Gastrochaena dubia</t>
  </si>
  <si>
    <t>Serpulidae</t>
  </si>
  <si>
    <t>Roccia nuda</t>
  </si>
  <si>
    <t>TOTALE %</t>
  </si>
  <si>
    <r>
      <t>Cerithium vulgatum</t>
    </r>
    <r>
      <rPr>
        <sz val="10"/>
        <color rgb="FF000000"/>
        <rFont val="Arial"/>
        <family val="2"/>
        <scheme val="minor"/>
      </rPr>
      <t xml:space="preserve"> (n. individui)</t>
    </r>
  </si>
  <si>
    <t>Chiara Belliato</t>
  </si>
  <si>
    <t>A</t>
  </si>
  <si>
    <t>Sara Barontini</t>
  </si>
  <si>
    <t>Francesco Ciccarello</t>
  </si>
  <si>
    <t>Riccardo Bersani</t>
  </si>
  <si>
    <t>Mattia Ceccarelli</t>
  </si>
  <si>
    <t xml:space="preserve">Matteo Cerquetti </t>
  </si>
  <si>
    <t>Matteo Cerquetti</t>
  </si>
  <si>
    <t>Denise Bortolozzo</t>
  </si>
  <si>
    <t>Chiara Calò</t>
  </si>
  <si>
    <t>Martina Bilotta</t>
  </si>
  <si>
    <t>Juan Diego Capriati</t>
  </si>
  <si>
    <t>Leonardo Vettore Bertolla</t>
  </si>
  <si>
    <t>Federica Chippari</t>
  </si>
  <si>
    <t>Angelica Bury</t>
  </si>
  <si>
    <t>Sara Pedrini</t>
  </si>
  <si>
    <t>B</t>
  </si>
  <si>
    <t>Giulia Urciullo</t>
  </si>
  <si>
    <t>Adrian Villani</t>
  </si>
  <si>
    <t>Cecilia Setti</t>
  </si>
  <si>
    <t>Giulia Ulkumen</t>
  </si>
  <si>
    <t>Alessio Tantone</t>
  </si>
  <si>
    <t>Tancredi Santoro</t>
  </si>
  <si>
    <t>Sara Tonzar</t>
  </si>
  <si>
    <t xml:space="preserve">Sara Tonzar </t>
  </si>
  <si>
    <t>Noemi Pecorale</t>
  </si>
  <si>
    <t>Sara Stoppa</t>
  </si>
  <si>
    <t>Lamberto Tastardi</t>
  </si>
  <si>
    <t>Oliva Giulia</t>
  </si>
  <si>
    <t>1,5</t>
  </si>
  <si>
    <t>Alice Taramelli</t>
  </si>
  <si>
    <t>Melissa Guidi</t>
  </si>
  <si>
    <t>C</t>
  </si>
  <si>
    <t>Sofia Del Gobbo</t>
  </si>
  <si>
    <t>Tommaso Dal Santo</t>
  </si>
  <si>
    <t>Luna Di Franco</t>
  </si>
  <si>
    <t>Anna Gerardini</t>
  </si>
  <si>
    <t>Francesca Cifelli</t>
  </si>
  <si>
    <t>Federica Mastroberti</t>
  </si>
  <si>
    <t>Stefania Giovannini</t>
  </si>
  <si>
    <t>Arianna Di Biasio</t>
  </si>
  <si>
    <t>Giovanni Ciccarello</t>
  </si>
  <si>
    <t>Giorgia Invitto</t>
  </si>
  <si>
    <t>Sara Giolo</t>
  </si>
  <si>
    <t>Sabrina De Rito</t>
  </si>
  <si>
    <t>metadata</t>
  </si>
  <si>
    <t>Lat °N (WGS84)</t>
  </si>
  <si>
    <t>Lon °E (WGS84)</t>
  </si>
  <si>
    <t>depth</t>
  </si>
  <si>
    <t>Sito A</t>
  </si>
  <si>
    <t>Uvala Lone A</t>
  </si>
  <si>
    <t>0-1 m</t>
  </si>
  <si>
    <t>Sito B</t>
  </si>
  <si>
    <t>Villas Rubin</t>
  </si>
  <si>
    <t>Sito C</t>
  </si>
  <si>
    <t>Polari</t>
  </si>
  <si>
    <r>
      <t>Valonia</t>
    </r>
    <r>
      <rPr>
        <sz val="10"/>
        <color rgb="FF000000"/>
        <rFont val="Arial"/>
        <family val="2"/>
        <scheme val="minor"/>
      </rPr>
      <t xml:space="preserve"> sp.</t>
    </r>
  </si>
  <si>
    <r>
      <t>Chondrophycus</t>
    </r>
    <r>
      <rPr>
        <sz val="10"/>
        <color rgb="FF000000"/>
        <rFont val="Arial"/>
        <family val="2"/>
        <scheme val="minor"/>
      </rPr>
      <t xml:space="preserve"> sp.</t>
    </r>
  </si>
  <si>
    <r>
      <t>Conus</t>
    </r>
    <r>
      <rPr>
        <sz val="10"/>
        <color rgb="FF000000"/>
        <rFont val="Arial"/>
        <family val="2"/>
        <scheme val="minor"/>
      </rPr>
      <t xml:space="preserve"> sp. e </t>
    </r>
    <r>
      <rPr>
        <i/>
        <sz val="10"/>
        <color rgb="FF000000"/>
        <rFont val="Arial"/>
        <family val="2"/>
        <scheme val="minor"/>
      </rPr>
      <t>Phorcus</t>
    </r>
    <r>
      <rPr>
        <sz val="10"/>
        <color rgb="FF000000"/>
        <rFont val="Arial"/>
        <family val="2"/>
        <scheme val="minor"/>
      </rPr>
      <t xml:space="preserve"> sp. (n. individui)</t>
    </r>
  </si>
  <si>
    <r>
      <t>Hexaplex trunculus</t>
    </r>
    <r>
      <rPr>
        <sz val="10"/>
        <color theme="1"/>
        <rFont val="Arial"/>
        <family val="2"/>
        <scheme val="minor"/>
      </rPr>
      <t xml:space="preserve"> (n. individui)</t>
    </r>
  </si>
  <si>
    <r>
      <t>Holothuria tubulosa</t>
    </r>
    <r>
      <rPr>
        <sz val="10"/>
        <color rgb="FF000000"/>
        <rFont val="Arial"/>
        <family val="2"/>
        <scheme val="minor"/>
      </rPr>
      <t xml:space="preserve"> (n. individui)</t>
    </r>
  </si>
  <si>
    <t>Paguroidea (n. individui)</t>
  </si>
  <si>
    <r>
      <rPr>
        <i/>
        <sz val="10"/>
        <color rgb="FF000000"/>
        <rFont val="Arial"/>
        <family val="2"/>
        <scheme val="minor"/>
      </rPr>
      <t>Anemonia sulcata</t>
    </r>
    <r>
      <rPr>
        <sz val="10"/>
        <color rgb="FF000000"/>
        <rFont val="Arial"/>
        <family val="2"/>
        <scheme val="minor"/>
      </rPr>
      <t xml:space="preserve"> (n. individui)</t>
    </r>
  </si>
  <si>
    <t>Blenniidae (n. individui)</t>
  </si>
  <si>
    <t>Gobiidae (n. individui)</t>
  </si>
  <si>
    <t>Nudibranchia (n. individui)</t>
  </si>
  <si>
    <t>Paracentrotus lividus (n. individui)</t>
  </si>
  <si>
    <r>
      <rPr>
        <i/>
        <sz val="10"/>
        <color rgb="FF000000"/>
        <rFont val="Arial"/>
        <family val="2"/>
        <scheme val="minor"/>
      </rPr>
      <t>Columbella</t>
    </r>
    <r>
      <rPr>
        <sz val="10"/>
        <color rgb="FF000000"/>
        <rFont val="Arial"/>
        <family val="2"/>
        <scheme val="minor"/>
      </rPr>
      <t xml:space="preserve"> sp. (n. individui)</t>
    </r>
  </si>
  <si>
    <r>
      <rPr>
        <i/>
        <sz val="10"/>
        <color rgb="FF000000"/>
        <rFont val="Arial"/>
        <family val="2"/>
        <scheme val="minor"/>
      </rPr>
      <t>Bittium</t>
    </r>
    <r>
      <rPr>
        <sz val="10"/>
        <color rgb="FF000000"/>
        <rFont val="Arial"/>
        <family val="2"/>
        <scheme val="minor"/>
      </rPr>
      <t xml:space="preserve"> sp. (n. individui)</t>
    </r>
  </si>
  <si>
    <r>
      <rPr>
        <i/>
        <sz val="10"/>
        <color rgb="FF000000"/>
        <rFont val="Arial"/>
        <family val="2"/>
        <scheme val="minor"/>
      </rPr>
      <t>Mytillus galloprovincialis</t>
    </r>
    <r>
      <rPr>
        <sz val="10"/>
        <color rgb="FF000000"/>
        <rFont val="Arial"/>
        <family val="2"/>
        <scheme val="minor"/>
      </rPr>
      <t xml:space="preserve"> (n. individui)</t>
    </r>
  </si>
  <si>
    <r>
      <rPr>
        <i/>
        <sz val="10"/>
        <color rgb="FF000000"/>
        <rFont val="Arial"/>
        <family val="2"/>
        <scheme val="minor"/>
      </rPr>
      <t>Tripterygion delaisi</t>
    </r>
    <r>
      <rPr>
        <sz val="10"/>
        <color rgb="FF000000"/>
        <rFont val="Arial"/>
        <family val="2"/>
        <scheme val="minor"/>
      </rPr>
      <t xml:space="preserve"> (n. individui)</t>
    </r>
  </si>
  <si>
    <r>
      <t>Microlipophrys dalmatinus</t>
    </r>
    <r>
      <rPr>
        <sz val="10"/>
        <color rgb="FF000000"/>
        <rFont val="Arial"/>
        <family val="2"/>
        <scheme val="minor"/>
      </rPr>
      <t xml:space="preserve"> (n. individui)</t>
    </r>
  </si>
  <si>
    <r>
      <t>Parablennius gattorugine</t>
    </r>
    <r>
      <rPr>
        <sz val="10"/>
        <color rgb="FF000000"/>
        <rFont val="Arial"/>
        <family val="2"/>
        <scheme val="minor"/>
      </rPr>
      <t xml:space="preserve"> (n. individui)</t>
    </r>
  </si>
  <si>
    <r>
      <rPr>
        <i/>
        <sz val="10"/>
        <color rgb="FF000000"/>
        <rFont val="Arial"/>
        <family val="2"/>
        <scheme val="minor"/>
      </rPr>
      <t>Aidablennius sphynx</t>
    </r>
    <r>
      <rPr>
        <sz val="10"/>
        <color rgb="FF000000"/>
        <rFont val="Arial"/>
        <family val="2"/>
        <scheme val="minor"/>
      </rPr>
      <t xml:space="preserve"> (n. individui)</t>
    </r>
  </si>
  <si>
    <r>
      <t>Crustacea</t>
    </r>
    <r>
      <rPr>
        <i/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>(n. individui)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</si>
</sst>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\.mm\.ss"/>
    <numFmt numFmtId="165" formatCode="0.000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9"/>
      <color rgb="FF1A73E8"/>
      <name val="Roboto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1"/>
      <color rgb="FF242424"/>
      <name val="Aptos Narrow"/>
      <charset val="1"/>
    </font>
    <font>
      <sz val="9"/>
      <color rgb="FF000000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right"/>
    </xf>
    <xf numFmtId="164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  <xf numFmtId="1" fontId="1" fillId="0" borderId="0" xfId="0" applyNumberFormat="1" applyFont="1"/>
    <xf numFmtId="165" fontId="10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9" fontId="4" fillId="0" borderId="0" xfId="0" applyNumberFormat="1" applyFont="1"/>
    <xf numFmtId="9" fontId="0" fillId="0" borderId="0" xfId="0" applyNumberFormat="1"/>
    <xf numFmtId="0" fontId="10" fillId="0" borderId="0" xfId="0" applyFont="1"/>
    <xf numFmtId="2" fontId="4" fillId="0" borderId="0" xfId="0" applyNumberFormat="1" applyFont="1"/>
    <xf numFmtId="2" fontId="9" fillId="0" borderId="0" xfId="0" applyNumberFormat="1" applyFont="1"/>
    <xf numFmtId="1" fontId="4" fillId="0" borderId="0" xfId="0" applyNumberFormat="1" applyFont="1"/>
    <xf numFmtId="0" fontId="13" fillId="0" borderId="0" xfId="0" applyFont="1"/>
    <xf numFmtId="0" fontId="3" fillId="2" borderId="0" xfId="0" applyFont="1" applyFill="1" applyAlignment="1">
      <alignment horizontal="left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right"/>
    </xf>
  </cellXfs>
  <cellStyles count="1">
    <cellStyle name="Normale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96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25" sqref="H125"/>
    </sheetView>
  </sheetViews>
  <sheetFormatPr defaultColWidth="12.7265625" defaultRowHeight="15.75" customHeight="1" x14ac:dyDescent="0.3"/>
  <cols>
    <col min="1" max="1" width="18.26953125" style="3" customWidth="1"/>
    <col min="2" max="2" width="3.81640625" style="3" customWidth="1"/>
    <col min="3" max="3" width="7.453125" style="3" customWidth="1"/>
    <col min="4" max="5" width="12.7265625" style="3"/>
    <col min="6" max="6" width="13.26953125" style="3" customWidth="1"/>
    <col min="7" max="11" width="12.7265625" style="3"/>
    <col min="12" max="12" width="13.26953125" style="3" customWidth="1"/>
    <col min="13" max="15" width="12.7265625" style="3"/>
    <col min="16" max="17" width="13.26953125" style="3" customWidth="1"/>
    <col min="18" max="18" width="12.7265625" style="3"/>
    <col min="19" max="19" width="13.26953125" style="3" customWidth="1"/>
    <col min="20" max="21" width="12.7265625" style="3"/>
    <col min="22" max="23" width="13.26953125" style="3" customWidth="1"/>
    <col min="24" max="25" width="12.1796875" style="8" customWidth="1"/>
    <col min="26" max="26" width="12.7265625" style="3"/>
    <col min="27" max="27" width="11.1796875" style="3" customWidth="1"/>
    <col min="28" max="28" width="12.7265625" style="3"/>
    <col min="29" max="29" width="11.1796875" style="3" customWidth="1"/>
    <col min="30" max="31" width="12.7265625" style="3"/>
    <col min="33" max="33" width="12.7265625" style="3"/>
    <col min="35" max="35" width="12.7265625" style="3"/>
    <col min="36" max="36" width="14.26953125" style="3" customWidth="1"/>
    <col min="37" max="37" width="13.26953125" style="3" customWidth="1"/>
    <col min="38" max="38" width="12.7265625" style="3"/>
    <col min="39" max="39" width="15.1796875" style="3" customWidth="1"/>
    <col min="40" max="43" width="12.7265625" style="3"/>
    <col min="46" max="16384" width="12.7265625" style="3"/>
  </cols>
  <sheetData>
    <row r="1" spans="1:43" ht="17.5" customHeight="1" x14ac:dyDescent="0.3">
      <c r="A1" s="9" t="s">
        <v>0</v>
      </c>
      <c r="B1" s="9" t="s">
        <v>1</v>
      </c>
      <c r="C1" s="9" t="s">
        <v>2</v>
      </c>
      <c r="D1" s="12" t="s">
        <v>3</v>
      </c>
      <c r="E1" s="12" t="s">
        <v>4</v>
      </c>
      <c r="F1" s="13" t="s">
        <v>80</v>
      </c>
      <c r="G1" s="12" t="s">
        <v>5</v>
      </c>
      <c r="H1" s="9" t="s">
        <v>6</v>
      </c>
      <c r="I1" s="9" t="s">
        <v>7</v>
      </c>
      <c r="J1" s="12" t="s">
        <v>8</v>
      </c>
      <c r="K1" s="12" t="s">
        <v>9</v>
      </c>
      <c r="L1" s="4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3" t="s">
        <v>79</v>
      </c>
      <c r="R1" s="9" t="s">
        <v>15</v>
      </c>
      <c r="S1" s="13" t="s">
        <v>16</v>
      </c>
      <c r="T1" s="9" t="s">
        <v>17</v>
      </c>
      <c r="U1" s="12" t="s">
        <v>18</v>
      </c>
      <c r="V1" s="4" t="s">
        <v>19</v>
      </c>
      <c r="W1" s="4" t="s">
        <v>20</v>
      </c>
      <c r="X1" s="7" t="s">
        <v>21</v>
      </c>
      <c r="Y1" s="7"/>
      <c r="Z1" s="3" t="s">
        <v>91</v>
      </c>
      <c r="AA1" s="13" t="s">
        <v>22</v>
      </c>
      <c r="AB1" s="3" t="s">
        <v>90</v>
      </c>
      <c r="AC1" s="13" t="s">
        <v>81</v>
      </c>
      <c r="AD1" s="12" t="s">
        <v>82</v>
      </c>
      <c r="AE1" s="3" t="s">
        <v>92</v>
      </c>
      <c r="AF1" s="3" t="s">
        <v>88</v>
      </c>
      <c r="AG1" s="14" t="s">
        <v>83</v>
      </c>
      <c r="AH1" s="3" t="s">
        <v>89</v>
      </c>
      <c r="AI1" s="3" t="s">
        <v>97</v>
      </c>
      <c r="AJ1" s="9" t="s">
        <v>84</v>
      </c>
      <c r="AK1" s="4" t="s">
        <v>85</v>
      </c>
      <c r="AL1" s="3" t="s">
        <v>96</v>
      </c>
      <c r="AM1" s="9" t="s">
        <v>86</v>
      </c>
      <c r="AN1" s="3" t="s">
        <v>87</v>
      </c>
      <c r="AO1" s="14" t="s">
        <v>94</v>
      </c>
      <c r="AP1" s="14" t="s">
        <v>95</v>
      </c>
      <c r="AQ1" s="3" t="s">
        <v>93</v>
      </c>
    </row>
    <row r="2" spans="1:43" ht="17.5" customHeight="1" x14ac:dyDescent="0.3">
      <c r="A2" s="3" t="s">
        <v>23</v>
      </c>
      <c r="B2" s="9" t="s">
        <v>24</v>
      </c>
      <c r="C2" s="10">
        <v>1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7</v>
      </c>
      <c r="Q2" s="9">
        <v>0</v>
      </c>
      <c r="R2" s="9">
        <v>95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8">
        <f t="shared" ref="X2:X33" si="0">SUM(D2:W2)</f>
        <v>102</v>
      </c>
      <c r="Z2">
        <v>0</v>
      </c>
      <c r="AA2" s="9">
        <v>0</v>
      </c>
      <c r="AB2" s="3">
        <v>0</v>
      </c>
      <c r="AC2" s="9">
        <v>0</v>
      </c>
      <c r="AD2" s="9">
        <v>0</v>
      </c>
      <c r="AE2">
        <v>0</v>
      </c>
      <c r="AF2">
        <v>0</v>
      </c>
      <c r="AG2" s="9">
        <v>0</v>
      </c>
      <c r="AH2">
        <v>0</v>
      </c>
      <c r="AI2">
        <v>0</v>
      </c>
      <c r="AJ2" s="9">
        <v>0</v>
      </c>
      <c r="AK2" s="9">
        <v>0</v>
      </c>
      <c r="AL2">
        <v>0</v>
      </c>
      <c r="AM2" s="9">
        <v>0</v>
      </c>
      <c r="AN2" s="3">
        <v>0</v>
      </c>
      <c r="AO2">
        <v>0</v>
      </c>
      <c r="AP2">
        <v>0</v>
      </c>
      <c r="AQ2">
        <v>0</v>
      </c>
    </row>
    <row r="3" spans="1:43" ht="17.5" customHeight="1" x14ac:dyDescent="0.3">
      <c r="A3" s="9" t="s">
        <v>23</v>
      </c>
      <c r="B3" s="9" t="s">
        <v>24</v>
      </c>
      <c r="C3" s="10">
        <v>2</v>
      </c>
      <c r="D3" s="9">
        <v>4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4</v>
      </c>
      <c r="P3" s="9">
        <v>3</v>
      </c>
      <c r="Q3" s="9">
        <v>0</v>
      </c>
      <c r="R3" s="9">
        <v>90</v>
      </c>
      <c r="S3" s="9">
        <v>0</v>
      </c>
      <c r="T3" s="9">
        <v>2</v>
      </c>
      <c r="U3" s="9">
        <v>1</v>
      </c>
      <c r="V3" s="9">
        <v>0</v>
      </c>
      <c r="W3" s="9">
        <v>0</v>
      </c>
      <c r="X3" s="8">
        <f t="shared" si="0"/>
        <v>104</v>
      </c>
      <c r="Z3">
        <v>0</v>
      </c>
      <c r="AA3" s="9">
        <v>0</v>
      </c>
      <c r="AB3" s="3">
        <v>0</v>
      </c>
      <c r="AC3" s="9">
        <v>0</v>
      </c>
      <c r="AD3" s="9">
        <v>3</v>
      </c>
      <c r="AE3">
        <v>0</v>
      </c>
      <c r="AF3">
        <v>0</v>
      </c>
      <c r="AG3" s="9">
        <v>0</v>
      </c>
      <c r="AH3">
        <v>0</v>
      </c>
      <c r="AI3">
        <v>0</v>
      </c>
      <c r="AJ3" s="9">
        <v>2</v>
      </c>
      <c r="AK3" s="9">
        <v>2</v>
      </c>
      <c r="AL3">
        <v>0</v>
      </c>
      <c r="AM3" s="9">
        <v>0</v>
      </c>
      <c r="AN3" s="3">
        <v>0</v>
      </c>
      <c r="AO3">
        <v>0</v>
      </c>
      <c r="AP3">
        <v>0</v>
      </c>
      <c r="AQ3">
        <v>0</v>
      </c>
    </row>
    <row r="4" spans="1:43" ht="17.5" customHeight="1" x14ac:dyDescent="0.3">
      <c r="A4" s="9" t="s">
        <v>23</v>
      </c>
      <c r="B4" s="9" t="s">
        <v>24</v>
      </c>
      <c r="C4" s="10">
        <v>3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80</v>
      </c>
      <c r="S4" s="9">
        <v>0</v>
      </c>
      <c r="T4" s="9">
        <v>0</v>
      </c>
      <c r="U4" s="9">
        <v>0</v>
      </c>
      <c r="V4" s="9">
        <v>0</v>
      </c>
      <c r="W4" s="9">
        <v>20</v>
      </c>
      <c r="X4" s="8">
        <f t="shared" si="0"/>
        <v>100</v>
      </c>
      <c r="Z4">
        <v>0</v>
      </c>
      <c r="AA4" s="9">
        <v>0</v>
      </c>
      <c r="AB4" s="3">
        <v>0</v>
      </c>
      <c r="AC4" s="9">
        <v>0</v>
      </c>
      <c r="AD4" s="9">
        <v>2</v>
      </c>
      <c r="AE4">
        <v>0</v>
      </c>
      <c r="AF4">
        <v>0</v>
      </c>
      <c r="AG4" s="9">
        <v>0</v>
      </c>
      <c r="AH4">
        <v>0</v>
      </c>
      <c r="AI4">
        <v>0</v>
      </c>
      <c r="AJ4" s="9">
        <v>0</v>
      </c>
      <c r="AK4" s="9">
        <v>0</v>
      </c>
      <c r="AL4">
        <v>0</v>
      </c>
      <c r="AM4" s="9">
        <v>0</v>
      </c>
      <c r="AN4" s="3">
        <v>0</v>
      </c>
      <c r="AO4">
        <v>0</v>
      </c>
      <c r="AP4">
        <v>0</v>
      </c>
      <c r="AQ4">
        <v>0</v>
      </c>
    </row>
    <row r="5" spans="1:43" ht="17.5" customHeight="1" x14ac:dyDescent="0.3">
      <c r="A5" s="9" t="s">
        <v>25</v>
      </c>
      <c r="B5" s="9" t="s">
        <v>24</v>
      </c>
      <c r="C5" s="10">
        <v>4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80</v>
      </c>
      <c r="S5" s="9">
        <v>0</v>
      </c>
      <c r="T5" s="9">
        <v>0</v>
      </c>
      <c r="U5" s="9">
        <v>0</v>
      </c>
      <c r="V5" s="9">
        <v>0</v>
      </c>
      <c r="W5" s="9">
        <v>20</v>
      </c>
      <c r="X5" s="8">
        <f t="shared" si="0"/>
        <v>100</v>
      </c>
      <c r="Z5">
        <v>0</v>
      </c>
      <c r="AA5" s="9">
        <v>0</v>
      </c>
      <c r="AB5" s="3">
        <v>0</v>
      </c>
      <c r="AC5" s="9">
        <v>0</v>
      </c>
      <c r="AD5" s="9">
        <v>0</v>
      </c>
      <c r="AE5">
        <v>0</v>
      </c>
      <c r="AF5">
        <v>1</v>
      </c>
      <c r="AG5" s="9">
        <v>0</v>
      </c>
      <c r="AH5">
        <v>0</v>
      </c>
      <c r="AI5">
        <v>0</v>
      </c>
      <c r="AJ5" s="9">
        <v>0</v>
      </c>
      <c r="AK5" s="9">
        <v>0</v>
      </c>
      <c r="AL5">
        <v>0</v>
      </c>
      <c r="AM5" s="9">
        <v>0</v>
      </c>
      <c r="AN5" s="3">
        <v>0</v>
      </c>
      <c r="AO5">
        <v>0</v>
      </c>
      <c r="AP5">
        <v>0</v>
      </c>
      <c r="AQ5">
        <v>0</v>
      </c>
    </row>
    <row r="6" spans="1:43" ht="17.5" customHeight="1" x14ac:dyDescent="0.3">
      <c r="A6" s="3" t="s">
        <v>25</v>
      </c>
      <c r="B6" s="9" t="s">
        <v>24</v>
      </c>
      <c r="C6" s="10">
        <v>5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8</v>
      </c>
      <c r="Q6" s="9">
        <v>0</v>
      </c>
      <c r="R6" s="9">
        <v>85</v>
      </c>
      <c r="S6" s="9">
        <v>6</v>
      </c>
      <c r="T6" s="9">
        <v>0</v>
      </c>
      <c r="U6" s="9">
        <v>0</v>
      </c>
      <c r="V6" s="9">
        <v>0</v>
      </c>
      <c r="W6" s="9">
        <v>1</v>
      </c>
      <c r="X6" s="8">
        <f t="shared" si="0"/>
        <v>100</v>
      </c>
      <c r="Z6">
        <v>0</v>
      </c>
      <c r="AA6" s="9">
        <v>0</v>
      </c>
      <c r="AB6" s="3">
        <v>0</v>
      </c>
      <c r="AC6" s="9">
        <v>0</v>
      </c>
      <c r="AD6" s="9">
        <v>0</v>
      </c>
      <c r="AE6">
        <v>0</v>
      </c>
      <c r="AF6">
        <v>0</v>
      </c>
      <c r="AG6" s="9">
        <v>0</v>
      </c>
      <c r="AH6">
        <v>0</v>
      </c>
      <c r="AI6">
        <v>0</v>
      </c>
      <c r="AJ6" s="9">
        <v>0</v>
      </c>
      <c r="AK6" s="9">
        <v>0</v>
      </c>
      <c r="AL6">
        <v>0</v>
      </c>
      <c r="AM6" s="9">
        <v>0</v>
      </c>
      <c r="AN6" s="3">
        <v>0</v>
      </c>
      <c r="AO6">
        <v>0</v>
      </c>
      <c r="AP6">
        <v>0</v>
      </c>
      <c r="AQ6">
        <v>0</v>
      </c>
    </row>
    <row r="7" spans="1:43" ht="17.5" customHeight="1" x14ac:dyDescent="0.3">
      <c r="A7" s="9" t="s">
        <v>25</v>
      </c>
      <c r="B7" s="9" t="s">
        <v>24</v>
      </c>
      <c r="C7" s="10">
        <v>6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96</v>
      </c>
      <c r="S7" s="9">
        <v>0</v>
      </c>
      <c r="T7" s="9">
        <v>9</v>
      </c>
      <c r="U7" s="9">
        <v>0</v>
      </c>
      <c r="V7" s="9">
        <v>0</v>
      </c>
      <c r="W7" s="9">
        <v>0</v>
      </c>
      <c r="X7" s="8">
        <f t="shared" si="0"/>
        <v>105</v>
      </c>
      <c r="Z7" s="3">
        <v>0</v>
      </c>
      <c r="AA7" s="9">
        <v>0</v>
      </c>
      <c r="AB7" s="3">
        <v>0</v>
      </c>
      <c r="AC7" s="9">
        <v>0</v>
      </c>
      <c r="AD7" s="9">
        <v>0</v>
      </c>
      <c r="AE7">
        <v>0</v>
      </c>
      <c r="AF7">
        <v>0</v>
      </c>
      <c r="AG7" s="9">
        <v>0</v>
      </c>
      <c r="AH7">
        <v>0</v>
      </c>
      <c r="AI7">
        <v>0</v>
      </c>
      <c r="AJ7" s="9">
        <v>1</v>
      </c>
      <c r="AK7" s="9">
        <v>0</v>
      </c>
      <c r="AL7">
        <v>0</v>
      </c>
      <c r="AM7" s="9">
        <v>0</v>
      </c>
      <c r="AN7" s="3">
        <v>0</v>
      </c>
      <c r="AO7">
        <v>0</v>
      </c>
      <c r="AP7">
        <v>0</v>
      </c>
      <c r="AQ7">
        <v>0</v>
      </c>
    </row>
    <row r="8" spans="1:43" ht="17.5" customHeight="1" x14ac:dyDescent="0.3">
      <c r="A8" s="9" t="s">
        <v>26</v>
      </c>
      <c r="B8" s="9" t="s">
        <v>24</v>
      </c>
      <c r="C8" s="10">
        <v>7</v>
      </c>
      <c r="D8" s="9">
        <v>1</v>
      </c>
      <c r="E8" s="9">
        <v>3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3</v>
      </c>
      <c r="L8" s="9">
        <v>0</v>
      </c>
      <c r="M8" s="9">
        <v>2</v>
      </c>
      <c r="N8" s="9">
        <v>0</v>
      </c>
      <c r="O8" s="9">
        <v>0</v>
      </c>
      <c r="P8" s="9">
        <v>8</v>
      </c>
      <c r="Q8" s="9">
        <v>0</v>
      </c>
      <c r="R8" s="9">
        <v>85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8">
        <f t="shared" si="0"/>
        <v>102</v>
      </c>
      <c r="Z8" s="3">
        <v>0</v>
      </c>
      <c r="AA8" s="9">
        <v>0</v>
      </c>
      <c r="AB8" s="3">
        <v>0</v>
      </c>
      <c r="AC8" s="9">
        <v>0</v>
      </c>
      <c r="AD8" s="9">
        <v>0</v>
      </c>
      <c r="AE8">
        <v>0</v>
      </c>
      <c r="AF8">
        <v>0</v>
      </c>
      <c r="AG8" s="9">
        <v>0</v>
      </c>
      <c r="AH8">
        <v>1</v>
      </c>
      <c r="AI8">
        <v>0</v>
      </c>
      <c r="AJ8" s="9">
        <v>0</v>
      </c>
      <c r="AK8" s="9">
        <v>0</v>
      </c>
      <c r="AL8">
        <v>0</v>
      </c>
      <c r="AM8" s="9">
        <v>0</v>
      </c>
      <c r="AN8" s="3">
        <v>0</v>
      </c>
      <c r="AO8">
        <v>0</v>
      </c>
      <c r="AP8">
        <v>0</v>
      </c>
      <c r="AQ8">
        <v>0</v>
      </c>
    </row>
    <row r="9" spans="1:43" ht="17.5" customHeight="1" x14ac:dyDescent="0.3">
      <c r="A9" s="9" t="s">
        <v>26</v>
      </c>
      <c r="B9" s="9" t="s">
        <v>24</v>
      </c>
      <c r="C9" s="10">
        <v>8</v>
      </c>
      <c r="D9" s="9">
        <v>0</v>
      </c>
      <c r="E9" s="9">
        <v>3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5</v>
      </c>
      <c r="N9" s="9">
        <v>0</v>
      </c>
      <c r="O9" s="9">
        <v>15</v>
      </c>
      <c r="P9" s="9">
        <v>8</v>
      </c>
      <c r="Q9" s="9">
        <v>0</v>
      </c>
      <c r="R9" s="9">
        <v>80</v>
      </c>
      <c r="S9" s="9">
        <v>0</v>
      </c>
      <c r="T9" s="9">
        <v>4</v>
      </c>
      <c r="U9" s="9">
        <v>0</v>
      </c>
      <c r="V9" s="9">
        <v>0</v>
      </c>
      <c r="W9" s="9">
        <v>0</v>
      </c>
      <c r="X9" s="8">
        <f t="shared" si="0"/>
        <v>115</v>
      </c>
      <c r="Z9" s="3">
        <v>0</v>
      </c>
      <c r="AA9" s="9">
        <v>0</v>
      </c>
      <c r="AB9" s="3">
        <v>0</v>
      </c>
      <c r="AC9" s="9">
        <v>0</v>
      </c>
      <c r="AD9" s="9">
        <v>0</v>
      </c>
      <c r="AE9">
        <v>0</v>
      </c>
      <c r="AF9">
        <v>0</v>
      </c>
      <c r="AG9" s="9">
        <v>0</v>
      </c>
      <c r="AH9">
        <v>0</v>
      </c>
      <c r="AI9">
        <v>0</v>
      </c>
      <c r="AJ9" s="9">
        <v>0</v>
      </c>
      <c r="AK9" s="9">
        <v>0</v>
      </c>
      <c r="AL9">
        <v>0</v>
      </c>
      <c r="AM9" s="9">
        <v>0</v>
      </c>
      <c r="AN9" s="3">
        <v>0</v>
      </c>
      <c r="AO9">
        <v>0</v>
      </c>
      <c r="AP9">
        <v>0</v>
      </c>
      <c r="AQ9">
        <v>0</v>
      </c>
    </row>
    <row r="10" spans="1:43" ht="17.5" customHeight="1" x14ac:dyDescent="0.3">
      <c r="A10" s="9" t="s">
        <v>26</v>
      </c>
      <c r="B10" s="9" t="s">
        <v>24</v>
      </c>
      <c r="C10" s="10">
        <v>9</v>
      </c>
      <c r="D10" s="9">
        <v>1</v>
      </c>
      <c r="E10" s="9">
        <v>3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2</v>
      </c>
      <c r="N10" s="9">
        <v>0</v>
      </c>
      <c r="O10" s="9">
        <v>0</v>
      </c>
      <c r="P10" s="9">
        <v>4</v>
      </c>
      <c r="Q10" s="9">
        <v>0</v>
      </c>
      <c r="R10" s="9">
        <v>80</v>
      </c>
      <c r="S10" s="9">
        <v>4</v>
      </c>
      <c r="T10" s="9">
        <v>8</v>
      </c>
      <c r="U10" s="9">
        <v>0</v>
      </c>
      <c r="V10" s="9">
        <v>0</v>
      </c>
      <c r="W10" s="9">
        <v>0</v>
      </c>
      <c r="X10" s="8">
        <f t="shared" si="0"/>
        <v>102</v>
      </c>
      <c r="Z10" s="3">
        <v>0</v>
      </c>
      <c r="AA10" s="9">
        <v>0</v>
      </c>
      <c r="AB10" s="3">
        <v>0</v>
      </c>
      <c r="AC10" s="9">
        <v>0</v>
      </c>
      <c r="AD10" s="9">
        <v>0</v>
      </c>
      <c r="AE10">
        <v>0</v>
      </c>
      <c r="AF10">
        <v>0</v>
      </c>
      <c r="AG10" s="9">
        <v>0</v>
      </c>
      <c r="AH10">
        <v>0</v>
      </c>
      <c r="AI10">
        <v>0</v>
      </c>
      <c r="AJ10" s="9">
        <v>4</v>
      </c>
      <c r="AK10" s="9">
        <v>0</v>
      </c>
      <c r="AL10">
        <v>0</v>
      </c>
      <c r="AM10" s="9">
        <v>0</v>
      </c>
      <c r="AN10" s="3">
        <v>0</v>
      </c>
      <c r="AO10">
        <v>0</v>
      </c>
      <c r="AP10">
        <v>0</v>
      </c>
      <c r="AQ10">
        <v>0</v>
      </c>
    </row>
    <row r="11" spans="1:43" ht="17.5" customHeight="1" x14ac:dyDescent="0.3">
      <c r="A11" s="9" t="s">
        <v>27</v>
      </c>
      <c r="B11" s="9" t="s">
        <v>24</v>
      </c>
      <c r="C11" s="10">
        <v>10</v>
      </c>
      <c r="D11" s="9">
        <v>1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5</v>
      </c>
      <c r="Q11" s="9">
        <v>0</v>
      </c>
      <c r="R11" s="9">
        <v>100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8">
        <f t="shared" si="0"/>
        <v>106</v>
      </c>
      <c r="Z11">
        <v>0</v>
      </c>
      <c r="AA11" s="9">
        <v>5</v>
      </c>
      <c r="AB11">
        <v>0</v>
      </c>
      <c r="AC11" s="9">
        <v>1</v>
      </c>
      <c r="AD11" s="9">
        <v>0</v>
      </c>
      <c r="AE11">
        <v>0</v>
      </c>
      <c r="AF11">
        <v>0</v>
      </c>
      <c r="AG11" s="9">
        <v>0</v>
      </c>
      <c r="AH11">
        <v>0</v>
      </c>
      <c r="AI11">
        <v>0</v>
      </c>
      <c r="AJ11" s="9">
        <v>0</v>
      </c>
      <c r="AK11" s="9">
        <v>0</v>
      </c>
      <c r="AL11">
        <v>0</v>
      </c>
      <c r="AM11" s="9">
        <v>0</v>
      </c>
      <c r="AN11" s="9">
        <v>0</v>
      </c>
      <c r="AO11">
        <v>0</v>
      </c>
      <c r="AP11">
        <v>0</v>
      </c>
      <c r="AQ11">
        <v>0</v>
      </c>
    </row>
    <row r="12" spans="1:43" ht="17.5" customHeight="1" x14ac:dyDescent="0.3">
      <c r="A12" s="9" t="s">
        <v>27</v>
      </c>
      <c r="B12" s="9" t="s">
        <v>24</v>
      </c>
      <c r="C12" s="10">
        <v>11</v>
      </c>
      <c r="D12" s="9">
        <v>1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3</v>
      </c>
      <c r="P12" s="9">
        <v>0</v>
      </c>
      <c r="Q12" s="9">
        <v>0</v>
      </c>
      <c r="R12" s="9">
        <v>100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8">
        <f t="shared" si="0"/>
        <v>104</v>
      </c>
      <c r="Z12">
        <v>0</v>
      </c>
      <c r="AA12" s="9">
        <v>0</v>
      </c>
      <c r="AB12">
        <v>0</v>
      </c>
      <c r="AC12" s="9">
        <v>0</v>
      </c>
      <c r="AD12" s="9">
        <v>4</v>
      </c>
      <c r="AE12">
        <v>0</v>
      </c>
      <c r="AF12">
        <v>0</v>
      </c>
      <c r="AG12" s="9">
        <v>0</v>
      </c>
      <c r="AH12">
        <v>0</v>
      </c>
      <c r="AI12">
        <v>0</v>
      </c>
      <c r="AJ12" s="9">
        <v>0</v>
      </c>
      <c r="AK12" s="9">
        <v>0</v>
      </c>
      <c r="AL12">
        <v>0</v>
      </c>
      <c r="AM12" s="9">
        <v>0</v>
      </c>
      <c r="AN12" s="3">
        <v>1</v>
      </c>
      <c r="AO12">
        <v>0</v>
      </c>
      <c r="AP12">
        <v>0</v>
      </c>
      <c r="AQ12">
        <v>0</v>
      </c>
    </row>
    <row r="13" spans="1:43" ht="17.5" customHeight="1" x14ac:dyDescent="0.3">
      <c r="A13" s="9" t="s">
        <v>27</v>
      </c>
      <c r="B13" s="9" t="s">
        <v>24</v>
      </c>
      <c r="C13" s="10">
        <v>12</v>
      </c>
      <c r="D13" s="9">
        <v>1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30</v>
      </c>
      <c r="N13" s="9">
        <v>0</v>
      </c>
      <c r="O13" s="9">
        <v>25</v>
      </c>
      <c r="P13" s="9">
        <v>25</v>
      </c>
      <c r="Q13" s="9">
        <v>0</v>
      </c>
      <c r="R13" s="9">
        <v>100</v>
      </c>
      <c r="S13" s="9">
        <v>0</v>
      </c>
      <c r="T13" s="9">
        <v>1</v>
      </c>
      <c r="U13" s="9">
        <v>0</v>
      </c>
      <c r="V13" s="9">
        <v>0</v>
      </c>
      <c r="W13" s="9">
        <v>0</v>
      </c>
      <c r="X13" s="8">
        <f t="shared" si="0"/>
        <v>182</v>
      </c>
      <c r="Z13">
        <v>0</v>
      </c>
      <c r="AA13" s="9">
        <v>3</v>
      </c>
      <c r="AB13">
        <v>0</v>
      </c>
      <c r="AC13" s="9">
        <v>0</v>
      </c>
      <c r="AD13" s="9">
        <v>0</v>
      </c>
      <c r="AE13">
        <v>0</v>
      </c>
      <c r="AF13">
        <v>0</v>
      </c>
      <c r="AG13" s="9">
        <v>0</v>
      </c>
      <c r="AH13">
        <v>0</v>
      </c>
      <c r="AI13">
        <v>0</v>
      </c>
      <c r="AJ13" s="9">
        <v>0</v>
      </c>
      <c r="AK13" s="9">
        <v>0</v>
      </c>
      <c r="AL13">
        <v>0</v>
      </c>
      <c r="AM13" s="9">
        <v>0</v>
      </c>
      <c r="AN13" s="9">
        <v>0</v>
      </c>
      <c r="AO13">
        <v>0</v>
      </c>
      <c r="AP13">
        <v>0</v>
      </c>
      <c r="AQ13">
        <v>0</v>
      </c>
    </row>
    <row r="14" spans="1:43" ht="17.5" customHeight="1" x14ac:dyDescent="0.3">
      <c r="A14" s="9" t="s">
        <v>28</v>
      </c>
      <c r="B14" s="9" t="s">
        <v>24</v>
      </c>
      <c r="C14" s="10">
        <v>13</v>
      </c>
      <c r="D14" s="9">
        <v>1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10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50</v>
      </c>
      <c r="Q14" s="9">
        <v>0</v>
      </c>
      <c r="R14" s="9">
        <v>80</v>
      </c>
      <c r="S14" s="9">
        <v>0</v>
      </c>
      <c r="T14" s="9">
        <v>0</v>
      </c>
      <c r="U14" s="9">
        <v>0</v>
      </c>
      <c r="V14" s="9">
        <v>0</v>
      </c>
      <c r="W14" s="9">
        <v>20</v>
      </c>
      <c r="X14" s="8">
        <f t="shared" si="0"/>
        <v>162</v>
      </c>
      <c r="Y14"/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s="3">
        <v>1</v>
      </c>
      <c r="AO14">
        <v>0</v>
      </c>
      <c r="AP14">
        <v>0</v>
      </c>
      <c r="AQ14">
        <v>0</v>
      </c>
    </row>
    <row r="15" spans="1:43" ht="17.5" customHeight="1" x14ac:dyDescent="0.3">
      <c r="A15" s="9" t="s">
        <v>28</v>
      </c>
      <c r="B15" s="9" t="s">
        <v>24</v>
      </c>
      <c r="C15" s="10">
        <v>14</v>
      </c>
      <c r="D15" s="9">
        <v>5</v>
      </c>
      <c r="E15" s="9">
        <v>5</v>
      </c>
      <c r="F15" s="9">
        <v>0</v>
      </c>
      <c r="G15" s="9">
        <v>0</v>
      </c>
      <c r="H15" s="9">
        <v>0</v>
      </c>
      <c r="I15" s="9">
        <v>0</v>
      </c>
      <c r="J15" s="9">
        <v>5</v>
      </c>
      <c r="K15" s="9">
        <v>3</v>
      </c>
      <c r="L15" s="9">
        <v>0</v>
      </c>
      <c r="M15" s="9">
        <v>20</v>
      </c>
      <c r="N15" s="9">
        <v>0</v>
      </c>
      <c r="O15" s="9">
        <v>0</v>
      </c>
      <c r="P15" s="9">
        <v>40</v>
      </c>
      <c r="Q15" s="9">
        <v>0</v>
      </c>
      <c r="R15" s="9">
        <v>100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8">
        <f t="shared" si="0"/>
        <v>178</v>
      </c>
      <c r="Z15">
        <v>0</v>
      </c>
      <c r="AA15" s="9">
        <v>0</v>
      </c>
      <c r="AB15">
        <v>0</v>
      </c>
      <c r="AC15" s="9">
        <v>0</v>
      </c>
      <c r="AD15" s="9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9">
        <v>2</v>
      </c>
      <c r="AK15" s="9">
        <v>0</v>
      </c>
      <c r="AL15">
        <v>0</v>
      </c>
      <c r="AM15" s="9">
        <v>0</v>
      </c>
      <c r="AN15">
        <v>0</v>
      </c>
      <c r="AO15">
        <v>0</v>
      </c>
      <c r="AP15">
        <v>0</v>
      </c>
      <c r="AQ15">
        <v>0</v>
      </c>
    </row>
    <row r="16" spans="1:43" ht="17.5" customHeight="1" x14ac:dyDescent="0.3">
      <c r="A16" s="9" t="s">
        <v>28</v>
      </c>
      <c r="B16" s="9" t="s">
        <v>24</v>
      </c>
      <c r="C16" s="10">
        <v>15</v>
      </c>
      <c r="D16" s="9">
        <v>5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3</v>
      </c>
      <c r="K16" s="9">
        <v>0</v>
      </c>
      <c r="L16" s="9">
        <v>0</v>
      </c>
      <c r="M16" s="9">
        <v>5</v>
      </c>
      <c r="N16" s="9">
        <v>0</v>
      </c>
      <c r="O16" s="9">
        <v>0</v>
      </c>
      <c r="P16" s="9">
        <v>40</v>
      </c>
      <c r="Q16" s="9">
        <v>0</v>
      </c>
      <c r="R16" s="9">
        <v>90</v>
      </c>
      <c r="S16" s="9">
        <v>0</v>
      </c>
      <c r="T16" s="9">
        <v>0</v>
      </c>
      <c r="U16" s="9">
        <v>0</v>
      </c>
      <c r="V16" s="9">
        <v>0</v>
      </c>
      <c r="W16" s="9">
        <v>10</v>
      </c>
      <c r="X16" s="8">
        <f t="shared" si="0"/>
        <v>153</v>
      </c>
      <c r="Z16">
        <v>0</v>
      </c>
      <c r="AA16" s="9">
        <v>15</v>
      </c>
      <c r="AB16">
        <v>0</v>
      </c>
      <c r="AC16" s="9">
        <v>1</v>
      </c>
      <c r="AD16" s="9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9">
        <v>0</v>
      </c>
      <c r="AK16" s="9">
        <v>0</v>
      </c>
      <c r="AL16">
        <v>0</v>
      </c>
      <c r="AM16" s="9">
        <v>0</v>
      </c>
      <c r="AN16" s="3">
        <v>1</v>
      </c>
      <c r="AO16">
        <v>0</v>
      </c>
      <c r="AP16">
        <v>0</v>
      </c>
      <c r="AQ16">
        <v>0</v>
      </c>
    </row>
    <row r="17" spans="1:43" ht="17.5" customHeight="1" x14ac:dyDescent="0.3">
      <c r="A17" s="3" t="s">
        <v>29</v>
      </c>
      <c r="B17" s="9" t="s">
        <v>24</v>
      </c>
      <c r="C17" s="10">
        <v>16</v>
      </c>
      <c r="D17" s="9">
        <v>5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40</v>
      </c>
      <c r="Q17" s="9">
        <v>0</v>
      </c>
      <c r="R17" s="9">
        <v>100</v>
      </c>
      <c r="S17" s="9">
        <v>6</v>
      </c>
      <c r="T17" s="9">
        <v>0</v>
      </c>
      <c r="U17" s="9">
        <v>0</v>
      </c>
      <c r="V17" s="9">
        <v>0</v>
      </c>
      <c r="W17" s="9">
        <v>0</v>
      </c>
      <c r="X17" s="8">
        <f t="shared" si="0"/>
        <v>151</v>
      </c>
      <c r="Z17" s="3">
        <v>0</v>
      </c>
      <c r="AA17" s="9">
        <v>1</v>
      </c>
      <c r="AB17">
        <v>0</v>
      </c>
      <c r="AC17" s="9">
        <v>0</v>
      </c>
      <c r="AD17" s="9">
        <v>2</v>
      </c>
      <c r="AE17">
        <v>0</v>
      </c>
      <c r="AF17">
        <v>0</v>
      </c>
      <c r="AG17" s="9">
        <v>0</v>
      </c>
      <c r="AH17">
        <v>0</v>
      </c>
      <c r="AI17">
        <v>0</v>
      </c>
      <c r="AJ17" s="9">
        <v>0</v>
      </c>
      <c r="AK17" s="9">
        <v>0</v>
      </c>
      <c r="AL17">
        <v>0</v>
      </c>
      <c r="AM17" s="9">
        <v>0</v>
      </c>
      <c r="AN17" s="9">
        <v>0</v>
      </c>
      <c r="AO17">
        <v>0</v>
      </c>
      <c r="AP17">
        <v>0</v>
      </c>
      <c r="AQ17">
        <v>0</v>
      </c>
    </row>
    <row r="18" spans="1:43" ht="17.5" customHeight="1" x14ac:dyDescent="0.3">
      <c r="A18" s="9" t="s">
        <v>30</v>
      </c>
      <c r="B18" s="9" t="s">
        <v>24</v>
      </c>
      <c r="C18" s="10">
        <v>17</v>
      </c>
      <c r="D18" s="9">
        <v>3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40</v>
      </c>
      <c r="Q18" s="9">
        <v>0</v>
      </c>
      <c r="R18" s="9">
        <v>80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8">
        <f t="shared" si="0"/>
        <v>123</v>
      </c>
      <c r="Z18" s="3">
        <v>0</v>
      </c>
      <c r="AA18" s="9">
        <v>4</v>
      </c>
      <c r="AB18">
        <v>0</v>
      </c>
      <c r="AC18" s="9">
        <v>0</v>
      </c>
      <c r="AD18" s="9">
        <v>0</v>
      </c>
      <c r="AE18">
        <v>0</v>
      </c>
      <c r="AF18">
        <v>0</v>
      </c>
      <c r="AG18" s="9">
        <v>0</v>
      </c>
      <c r="AH18">
        <v>0</v>
      </c>
      <c r="AI18">
        <v>0</v>
      </c>
      <c r="AJ18" s="9">
        <v>0</v>
      </c>
      <c r="AK18" s="9">
        <v>0</v>
      </c>
      <c r="AL18">
        <v>0</v>
      </c>
      <c r="AM18" s="9">
        <v>0</v>
      </c>
      <c r="AN18" s="9">
        <v>0</v>
      </c>
      <c r="AO18">
        <v>0</v>
      </c>
      <c r="AP18">
        <v>0</v>
      </c>
      <c r="AQ18">
        <v>0</v>
      </c>
    </row>
    <row r="19" spans="1:43" ht="17.5" customHeight="1" x14ac:dyDescent="0.3">
      <c r="A19" s="9" t="s">
        <v>30</v>
      </c>
      <c r="B19" s="9" t="s">
        <v>24</v>
      </c>
      <c r="C19" s="10">
        <v>18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15</v>
      </c>
      <c r="N19" s="9">
        <v>0</v>
      </c>
      <c r="O19" s="9">
        <v>0</v>
      </c>
      <c r="P19" s="9">
        <v>85</v>
      </c>
      <c r="Q19" s="9">
        <v>0</v>
      </c>
      <c r="R19" s="9">
        <v>30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8">
        <f t="shared" si="0"/>
        <v>130</v>
      </c>
      <c r="Z19" s="3">
        <v>0</v>
      </c>
      <c r="AA19" s="9">
        <v>2</v>
      </c>
      <c r="AB19">
        <v>0</v>
      </c>
      <c r="AC19" s="9">
        <v>0</v>
      </c>
      <c r="AD19" s="9">
        <v>0</v>
      </c>
      <c r="AE19">
        <v>0</v>
      </c>
      <c r="AF19">
        <v>0</v>
      </c>
      <c r="AG19" s="9">
        <v>0</v>
      </c>
      <c r="AH19">
        <v>0</v>
      </c>
      <c r="AI19">
        <v>0</v>
      </c>
      <c r="AJ19" s="9">
        <v>0</v>
      </c>
      <c r="AK19" s="9">
        <v>0</v>
      </c>
      <c r="AL19">
        <v>0</v>
      </c>
      <c r="AM19" s="9">
        <v>0</v>
      </c>
      <c r="AN19" s="9">
        <v>0</v>
      </c>
      <c r="AO19">
        <v>0</v>
      </c>
      <c r="AP19">
        <v>0</v>
      </c>
      <c r="AQ19">
        <v>0</v>
      </c>
    </row>
    <row r="20" spans="1:43" ht="17.5" customHeight="1" x14ac:dyDescent="0.3">
      <c r="A20" s="9" t="s">
        <v>31</v>
      </c>
      <c r="B20" s="9" t="s">
        <v>24</v>
      </c>
      <c r="C20" s="10">
        <v>19</v>
      </c>
      <c r="D20" s="9">
        <v>3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15</v>
      </c>
      <c r="N20" s="9">
        <v>0</v>
      </c>
      <c r="O20" s="9">
        <v>0</v>
      </c>
      <c r="P20" s="9">
        <v>80</v>
      </c>
      <c r="Q20" s="9">
        <v>0</v>
      </c>
      <c r="R20" s="9">
        <v>80</v>
      </c>
      <c r="S20" s="9">
        <v>0</v>
      </c>
      <c r="T20" s="9">
        <v>10</v>
      </c>
      <c r="U20" s="9">
        <v>0</v>
      </c>
      <c r="V20" s="9">
        <v>0</v>
      </c>
      <c r="W20" s="9">
        <v>0</v>
      </c>
      <c r="X20" s="8">
        <f t="shared" si="0"/>
        <v>188</v>
      </c>
      <c r="Z20" s="3">
        <v>0</v>
      </c>
      <c r="AA20" s="9">
        <v>4</v>
      </c>
      <c r="AB20">
        <v>0</v>
      </c>
      <c r="AC20" s="9">
        <v>0</v>
      </c>
      <c r="AD20" s="9">
        <v>0</v>
      </c>
      <c r="AE20">
        <v>0</v>
      </c>
      <c r="AF20">
        <v>0</v>
      </c>
      <c r="AG20" s="9">
        <v>0</v>
      </c>
      <c r="AH20">
        <v>0</v>
      </c>
      <c r="AI20">
        <v>0</v>
      </c>
      <c r="AJ20" s="9">
        <v>0</v>
      </c>
      <c r="AK20" s="9">
        <v>0</v>
      </c>
      <c r="AL20">
        <v>0</v>
      </c>
      <c r="AM20" s="9">
        <v>0</v>
      </c>
      <c r="AN20" s="9">
        <v>0</v>
      </c>
      <c r="AO20">
        <v>0</v>
      </c>
      <c r="AP20">
        <v>0</v>
      </c>
      <c r="AQ20">
        <v>0</v>
      </c>
    </row>
    <row r="21" spans="1:43" ht="17.5" customHeight="1" x14ac:dyDescent="0.3">
      <c r="A21" s="9" t="s">
        <v>31</v>
      </c>
      <c r="B21" s="9" t="s">
        <v>24</v>
      </c>
      <c r="C21" s="10">
        <v>20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20</v>
      </c>
      <c r="K21" s="9">
        <v>0</v>
      </c>
      <c r="L21" s="9">
        <v>0</v>
      </c>
      <c r="M21" s="9">
        <v>30</v>
      </c>
      <c r="N21" s="9">
        <v>0</v>
      </c>
      <c r="O21" s="9">
        <v>0</v>
      </c>
      <c r="P21" s="9">
        <v>40</v>
      </c>
      <c r="Q21" s="9">
        <v>0</v>
      </c>
      <c r="R21" s="9">
        <v>80</v>
      </c>
      <c r="S21" s="9">
        <v>0</v>
      </c>
      <c r="T21" s="9">
        <v>10</v>
      </c>
      <c r="U21" s="9">
        <v>0</v>
      </c>
      <c r="V21" s="9">
        <v>0</v>
      </c>
      <c r="W21" s="9">
        <v>0</v>
      </c>
      <c r="X21" s="8">
        <f t="shared" si="0"/>
        <v>180</v>
      </c>
      <c r="Z21" s="3">
        <v>0</v>
      </c>
      <c r="AA21" s="9">
        <v>6</v>
      </c>
      <c r="AB21">
        <v>0</v>
      </c>
      <c r="AC21" s="9">
        <v>0</v>
      </c>
      <c r="AD21" s="9">
        <v>0</v>
      </c>
      <c r="AE21">
        <v>0</v>
      </c>
      <c r="AF21">
        <v>0</v>
      </c>
      <c r="AG21" s="9">
        <v>0</v>
      </c>
      <c r="AH21">
        <v>0</v>
      </c>
      <c r="AI21">
        <v>0</v>
      </c>
      <c r="AJ21" s="9">
        <v>0</v>
      </c>
      <c r="AK21" s="9">
        <v>0</v>
      </c>
      <c r="AL21">
        <v>0</v>
      </c>
      <c r="AM21" s="9">
        <v>0</v>
      </c>
      <c r="AN21" s="9">
        <v>0</v>
      </c>
      <c r="AO21">
        <v>0</v>
      </c>
      <c r="AP21">
        <v>0</v>
      </c>
      <c r="AQ21">
        <v>0</v>
      </c>
    </row>
    <row r="22" spans="1:43" ht="17.5" customHeight="1" x14ac:dyDescent="0.3">
      <c r="A22" s="9" t="s">
        <v>31</v>
      </c>
      <c r="B22" s="9" t="s">
        <v>24</v>
      </c>
      <c r="C22" s="10">
        <v>21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6</v>
      </c>
      <c r="K22" s="9">
        <v>0</v>
      </c>
      <c r="L22" s="9">
        <v>0</v>
      </c>
      <c r="M22" s="9">
        <v>20</v>
      </c>
      <c r="N22" s="9">
        <v>0</v>
      </c>
      <c r="O22" s="9">
        <v>0</v>
      </c>
      <c r="P22" s="9">
        <v>50</v>
      </c>
      <c r="Q22" s="9">
        <v>0</v>
      </c>
      <c r="R22" s="9">
        <v>80</v>
      </c>
      <c r="S22" s="9">
        <v>0</v>
      </c>
      <c r="T22" s="9">
        <v>10</v>
      </c>
      <c r="U22" s="9">
        <v>0</v>
      </c>
      <c r="V22" s="9">
        <v>0</v>
      </c>
      <c r="W22" s="9">
        <v>0</v>
      </c>
      <c r="X22" s="8">
        <f t="shared" si="0"/>
        <v>166</v>
      </c>
      <c r="Z22" s="3">
        <v>0</v>
      </c>
      <c r="AA22" s="9">
        <v>0</v>
      </c>
      <c r="AB22">
        <v>0</v>
      </c>
      <c r="AC22" s="9">
        <v>0</v>
      </c>
      <c r="AD22" s="9">
        <v>0</v>
      </c>
      <c r="AE22">
        <v>0</v>
      </c>
      <c r="AF22">
        <v>0</v>
      </c>
      <c r="AG22" s="9">
        <v>0</v>
      </c>
      <c r="AH22">
        <v>0</v>
      </c>
      <c r="AI22">
        <v>0</v>
      </c>
      <c r="AJ22" s="9">
        <v>0</v>
      </c>
      <c r="AK22" s="9">
        <v>0</v>
      </c>
      <c r="AL22">
        <v>0</v>
      </c>
      <c r="AM22" s="9">
        <v>0</v>
      </c>
      <c r="AN22" s="9">
        <v>0</v>
      </c>
      <c r="AO22">
        <v>0</v>
      </c>
      <c r="AP22">
        <v>0</v>
      </c>
      <c r="AQ22">
        <v>0</v>
      </c>
    </row>
    <row r="23" spans="1:43" ht="17.5" customHeight="1" x14ac:dyDescent="0.35">
      <c r="A23" s="9" t="s">
        <v>32</v>
      </c>
      <c r="B23" s="9" t="s">
        <v>24</v>
      </c>
      <c r="C23" s="10">
        <v>22</v>
      </c>
      <c r="D23" s="9">
        <v>2</v>
      </c>
      <c r="E23" s="9">
        <v>4</v>
      </c>
      <c r="F23" s="9">
        <v>0</v>
      </c>
      <c r="G23" s="9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9">
        <v>20</v>
      </c>
      <c r="N23" s="23">
        <v>0</v>
      </c>
      <c r="O23" s="9">
        <v>15</v>
      </c>
      <c r="P23" s="9">
        <v>10</v>
      </c>
      <c r="Q23" s="9">
        <v>0</v>
      </c>
      <c r="R23" s="9">
        <v>60</v>
      </c>
      <c r="S23" s="23">
        <v>0</v>
      </c>
      <c r="T23" s="9">
        <v>6</v>
      </c>
      <c r="U23" s="23">
        <v>0</v>
      </c>
      <c r="V23" s="23">
        <v>0</v>
      </c>
      <c r="W23" s="23">
        <v>0</v>
      </c>
      <c r="X23" s="8">
        <f t="shared" si="0"/>
        <v>117</v>
      </c>
      <c r="Z23" s="3">
        <v>0</v>
      </c>
      <c r="AA23" s="9">
        <v>4</v>
      </c>
      <c r="AB23">
        <v>0</v>
      </c>
      <c r="AC23" s="9">
        <v>0</v>
      </c>
      <c r="AD23" s="9">
        <v>0</v>
      </c>
      <c r="AE23">
        <v>0</v>
      </c>
      <c r="AF23">
        <v>0</v>
      </c>
      <c r="AG23" s="9">
        <v>0</v>
      </c>
      <c r="AH23">
        <v>0</v>
      </c>
      <c r="AI23">
        <v>0</v>
      </c>
      <c r="AJ23" s="9">
        <v>0</v>
      </c>
      <c r="AK23" s="9">
        <v>0</v>
      </c>
      <c r="AL23">
        <v>0</v>
      </c>
      <c r="AM23" s="9">
        <v>0</v>
      </c>
      <c r="AN23" s="9">
        <v>0</v>
      </c>
      <c r="AO23">
        <v>0</v>
      </c>
      <c r="AP23">
        <v>0</v>
      </c>
      <c r="AQ23">
        <v>0</v>
      </c>
    </row>
    <row r="24" spans="1:43" ht="17.5" customHeight="1" x14ac:dyDescent="0.35">
      <c r="A24" s="9" t="s">
        <v>32</v>
      </c>
      <c r="B24" s="9" t="s">
        <v>24</v>
      </c>
      <c r="C24" s="10">
        <v>23</v>
      </c>
      <c r="D24" s="9">
        <v>0</v>
      </c>
      <c r="E24" s="9">
        <v>0</v>
      </c>
      <c r="F24" s="9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9">
        <v>25</v>
      </c>
      <c r="P24" s="9">
        <v>20</v>
      </c>
      <c r="Q24" s="9">
        <v>0</v>
      </c>
      <c r="R24" s="9">
        <v>50</v>
      </c>
      <c r="S24" s="23">
        <v>0</v>
      </c>
      <c r="T24" s="9">
        <v>8</v>
      </c>
      <c r="U24" s="23">
        <v>0</v>
      </c>
      <c r="V24" s="23">
        <v>0</v>
      </c>
      <c r="W24" s="23">
        <v>0</v>
      </c>
      <c r="X24" s="8">
        <f t="shared" si="0"/>
        <v>103</v>
      </c>
      <c r="Z24" s="3">
        <v>0</v>
      </c>
      <c r="AA24" s="9">
        <v>3</v>
      </c>
      <c r="AB24">
        <v>0</v>
      </c>
      <c r="AC24" s="9">
        <v>0</v>
      </c>
      <c r="AD24" s="9">
        <v>0</v>
      </c>
      <c r="AE24">
        <v>0</v>
      </c>
      <c r="AF24">
        <v>0</v>
      </c>
      <c r="AG24" s="9">
        <v>0</v>
      </c>
      <c r="AH24">
        <v>0</v>
      </c>
      <c r="AI24">
        <v>0</v>
      </c>
      <c r="AJ24" s="9">
        <v>0</v>
      </c>
      <c r="AK24" s="9">
        <v>0</v>
      </c>
      <c r="AL24">
        <v>0</v>
      </c>
      <c r="AM24" s="9">
        <v>0</v>
      </c>
      <c r="AN24" s="9">
        <v>0</v>
      </c>
      <c r="AO24">
        <v>0</v>
      </c>
      <c r="AP24">
        <v>0</v>
      </c>
      <c r="AQ24">
        <v>0</v>
      </c>
    </row>
    <row r="25" spans="1:43" ht="17.5" customHeight="1" x14ac:dyDescent="0.35">
      <c r="A25" s="9" t="s">
        <v>32</v>
      </c>
      <c r="B25" s="9" t="s">
        <v>24</v>
      </c>
      <c r="C25" s="10">
        <v>24</v>
      </c>
      <c r="D25" s="9">
        <v>2</v>
      </c>
      <c r="E25" s="9">
        <v>0</v>
      </c>
      <c r="F25" s="9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9">
        <v>8</v>
      </c>
      <c r="N25" s="23">
        <v>0</v>
      </c>
      <c r="O25" s="9">
        <v>10</v>
      </c>
      <c r="P25" s="9">
        <v>15</v>
      </c>
      <c r="Q25" s="9">
        <v>0</v>
      </c>
      <c r="R25" s="9">
        <v>60</v>
      </c>
      <c r="S25" s="23">
        <v>4</v>
      </c>
      <c r="T25" s="9">
        <v>2</v>
      </c>
      <c r="U25" s="23">
        <v>0</v>
      </c>
      <c r="V25" s="23">
        <v>0</v>
      </c>
      <c r="W25" s="23">
        <v>0</v>
      </c>
      <c r="X25" s="8">
        <f t="shared" si="0"/>
        <v>101</v>
      </c>
      <c r="Z25" s="3">
        <v>0</v>
      </c>
      <c r="AA25" s="9">
        <v>2</v>
      </c>
      <c r="AB25">
        <v>0</v>
      </c>
      <c r="AC25" s="9">
        <v>0</v>
      </c>
      <c r="AD25" s="9">
        <v>0</v>
      </c>
      <c r="AE25">
        <v>0</v>
      </c>
      <c r="AF25">
        <v>0</v>
      </c>
      <c r="AG25" s="9">
        <v>0</v>
      </c>
      <c r="AH25">
        <v>0</v>
      </c>
      <c r="AI25">
        <v>0</v>
      </c>
      <c r="AJ25" s="9">
        <v>0</v>
      </c>
      <c r="AK25" s="9">
        <v>0</v>
      </c>
      <c r="AL25">
        <v>0</v>
      </c>
      <c r="AM25" s="9">
        <v>0</v>
      </c>
      <c r="AN25" s="9">
        <v>0</v>
      </c>
      <c r="AO25">
        <v>0</v>
      </c>
      <c r="AP25">
        <v>0</v>
      </c>
      <c r="AQ25">
        <v>0</v>
      </c>
    </row>
    <row r="26" spans="1:43" ht="17.5" customHeight="1" x14ac:dyDescent="0.35">
      <c r="A26" s="9" t="s">
        <v>33</v>
      </c>
      <c r="B26" s="9" t="s">
        <v>24</v>
      </c>
      <c r="C26" s="10">
        <v>25</v>
      </c>
      <c r="D26" s="9">
        <v>0</v>
      </c>
      <c r="E26" s="9">
        <v>0</v>
      </c>
      <c r="F26" s="9">
        <v>0</v>
      </c>
      <c r="G26" s="23">
        <v>0</v>
      </c>
      <c r="H26" s="23">
        <v>0</v>
      </c>
      <c r="I26" s="23">
        <v>0</v>
      </c>
      <c r="J26" s="9">
        <v>10</v>
      </c>
      <c r="K26" s="23">
        <v>0</v>
      </c>
      <c r="L26" s="23">
        <v>0</v>
      </c>
      <c r="M26" s="23">
        <v>0</v>
      </c>
      <c r="N26" s="23">
        <v>0</v>
      </c>
      <c r="O26" s="9">
        <v>10</v>
      </c>
      <c r="P26" s="9">
        <v>10</v>
      </c>
      <c r="Q26" s="9">
        <v>0</v>
      </c>
      <c r="R26" s="9">
        <v>60</v>
      </c>
      <c r="S26" s="23">
        <v>0</v>
      </c>
      <c r="T26" s="23">
        <v>0</v>
      </c>
      <c r="U26" s="23">
        <v>0</v>
      </c>
      <c r="V26" s="23">
        <v>0</v>
      </c>
      <c r="W26" s="9">
        <v>10</v>
      </c>
      <c r="X26" s="8">
        <f t="shared" si="0"/>
        <v>100</v>
      </c>
      <c r="Z26" s="3">
        <v>0</v>
      </c>
      <c r="AA26" s="9">
        <v>3</v>
      </c>
      <c r="AB26">
        <v>0</v>
      </c>
      <c r="AC26" s="9">
        <v>0</v>
      </c>
      <c r="AD26" s="9">
        <v>0</v>
      </c>
      <c r="AE26">
        <v>0</v>
      </c>
      <c r="AF26">
        <v>0</v>
      </c>
      <c r="AG26" s="9">
        <v>0</v>
      </c>
      <c r="AH26">
        <v>0</v>
      </c>
      <c r="AI26">
        <v>0</v>
      </c>
      <c r="AJ26" s="9">
        <v>0</v>
      </c>
      <c r="AK26" s="9">
        <v>0</v>
      </c>
      <c r="AL26">
        <v>0</v>
      </c>
      <c r="AM26" s="9">
        <v>0</v>
      </c>
      <c r="AN26" s="9">
        <v>0</v>
      </c>
      <c r="AO26">
        <v>0</v>
      </c>
      <c r="AP26">
        <v>0</v>
      </c>
      <c r="AQ26">
        <v>0</v>
      </c>
    </row>
    <row r="27" spans="1:43" ht="17.5" customHeight="1" x14ac:dyDescent="0.35">
      <c r="A27" s="9" t="s">
        <v>33</v>
      </c>
      <c r="B27" s="9" t="s">
        <v>24</v>
      </c>
      <c r="C27" s="10">
        <v>26</v>
      </c>
      <c r="D27" s="9">
        <v>0</v>
      </c>
      <c r="E27" s="9">
        <v>0</v>
      </c>
      <c r="F27" s="9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9">
        <v>15</v>
      </c>
      <c r="P27" s="9">
        <v>10</v>
      </c>
      <c r="Q27" s="9">
        <v>0</v>
      </c>
      <c r="R27" s="9">
        <v>75</v>
      </c>
      <c r="S27" s="23">
        <v>0</v>
      </c>
      <c r="T27" s="23">
        <v>0</v>
      </c>
      <c r="U27" s="23">
        <v>0</v>
      </c>
      <c r="V27" s="23">
        <v>0</v>
      </c>
      <c r="W27" s="9">
        <v>0</v>
      </c>
      <c r="X27" s="8">
        <f t="shared" si="0"/>
        <v>100</v>
      </c>
      <c r="Z27" s="3">
        <v>0</v>
      </c>
      <c r="AA27" s="9">
        <v>5</v>
      </c>
      <c r="AB27">
        <v>0</v>
      </c>
      <c r="AC27" s="9">
        <v>0</v>
      </c>
      <c r="AD27" s="9">
        <v>0</v>
      </c>
      <c r="AE27">
        <v>0</v>
      </c>
      <c r="AF27">
        <v>0</v>
      </c>
      <c r="AG27" s="9">
        <v>0</v>
      </c>
      <c r="AH27">
        <v>0</v>
      </c>
      <c r="AI27">
        <v>0</v>
      </c>
      <c r="AJ27" s="9">
        <v>0</v>
      </c>
      <c r="AK27" s="9">
        <v>0</v>
      </c>
      <c r="AL27">
        <v>0</v>
      </c>
      <c r="AM27" s="9">
        <v>0</v>
      </c>
      <c r="AN27" s="9">
        <v>0</v>
      </c>
      <c r="AO27">
        <v>0</v>
      </c>
      <c r="AP27">
        <v>0</v>
      </c>
      <c r="AQ27">
        <v>0</v>
      </c>
    </row>
    <row r="28" spans="1:43" ht="17.5" customHeight="1" x14ac:dyDescent="0.35">
      <c r="A28" s="9" t="s">
        <v>33</v>
      </c>
      <c r="B28" s="9" t="s">
        <v>24</v>
      </c>
      <c r="C28" s="10">
        <v>27</v>
      </c>
      <c r="D28" s="9">
        <v>0</v>
      </c>
      <c r="E28" s="9">
        <v>0</v>
      </c>
      <c r="F28" s="9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9">
        <v>30</v>
      </c>
      <c r="P28" s="9">
        <v>20</v>
      </c>
      <c r="Q28" s="9">
        <v>0</v>
      </c>
      <c r="R28" s="9">
        <v>50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8">
        <f t="shared" si="0"/>
        <v>100</v>
      </c>
      <c r="Z28" s="3">
        <v>0</v>
      </c>
      <c r="AA28" s="9">
        <v>3</v>
      </c>
      <c r="AB28">
        <v>0</v>
      </c>
      <c r="AC28" s="9">
        <v>0</v>
      </c>
      <c r="AD28" s="9">
        <v>0</v>
      </c>
      <c r="AE28">
        <v>0</v>
      </c>
      <c r="AF28">
        <v>0</v>
      </c>
      <c r="AG28" s="9">
        <v>0</v>
      </c>
      <c r="AH28">
        <v>0</v>
      </c>
      <c r="AI28">
        <v>0</v>
      </c>
      <c r="AJ28" s="9">
        <v>0</v>
      </c>
      <c r="AK28" s="9">
        <v>0</v>
      </c>
      <c r="AL28">
        <v>0</v>
      </c>
      <c r="AM28" s="9">
        <v>0</v>
      </c>
      <c r="AN28" s="9">
        <v>0</v>
      </c>
      <c r="AO28">
        <v>0</v>
      </c>
      <c r="AP28">
        <v>0</v>
      </c>
      <c r="AQ28">
        <v>0</v>
      </c>
    </row>
    <row r="29" spans="1:43" ht="17.5" customHeight="1" x14ac:dyDescent="0.3">
      <c r="A29" s="9" t="s">
        <v>34</v>
      </c>
      <c r="B29" s="9" t="s">
        <v>24</v>
      </c>
      <c r="C29" s="10">
        <v>28</v>
      </c>
      <c r="D29" s="9">
        <v>3</v>
      </c>
      <c r="E29" s="24">
        <v>0</v>
      </c>
      <c r="F29" s="9">
        <v>0</v>
      </c>
      <c r="G29" s="24">
        <v>15</v>
      </c>
      <c r="H29" s="9">
        <v>0</v>
      </c>
      <c r="I29" s="9">
        <v>0</v>
      </c>
      <c r="J29" s="24">
        <v>0</v>
      </c>
      <c r="K29" s="9">
        <v>0</v>
      </c>
      <c r="L29" s="24">
        <v>0</v>
      </c>
      <c r="M29" s="9">
        <v>20</v>
      </c>
      <c r="N29" s="24">
        <v>0</v>
      </c>
      <c r="O29" s="9">
        <v>0</v>
      </c>
      <c r="P29" s="24">
        <v>3</v>
      </c>
      <c r="Q29" s="9">
        <v>0</v>
      </c>
      <c r="R29" s="9">
        <v>60</v>
      </c>
      <c r="S29" s="24">
        <v>0</v>
      </c>
      <c r="T29" s="24">
        <v>6</v>
      </c>
      <c r="U29" s="9">
        <v>0</v>
      </c>
      <c r="V29" s="24">
        <v>0</v>
      </c>
      <c r="W29" s="9">
        <v>0</v>
      </c>
      <c r="X29" s="8">
        <f t="shared" si="0"/>
        <v>107</v>
      </c>
      <c r="Y29" s="15"/>
      <c r="Z29" s="3">
        <v>0</v>
      </c>
      <c r="AA29" s="9">
        <v>10</v>
      </c>
      <c r="AB29" s="3">
        <v>0</v>
      </c>
      <c r="AC29" s="9">
        <v>0</v>
      </c>
      <c r="AD29" s="9">
        <v>0</v>
      </c>
      <c r="AE29">
        <v>0</v>
      </c>
      <c r="AF29">
        <v>0</v>
      </c>
      <c r="AG29" s="9">
        <v>0</v>
      </c>
      <c r="AH29">
        <v>0</v>
      </c>
      <c r="AI29">
        <v>0</v>
      </c>
      <c r="AJ29" s="9">
        <v>0</v>
      </c>
      <c r="AK29" s="9">
        <v>0</v>
      </c>
      <c r="AL29">
        <v>0</v>
      </c>
      <c r="AM29" s="9">
        <v>0</v>
      </c>
      <c r="AN29" s="9">
        <v>0</v>
      </c>
      <c r="AO29">
        <v>0</v>
      </c>
      <c r="AP29">
        <v>0</v>
      </c>
      <c r="AQ29">
        <v>0</v>
      </c>
    </row>
    <row r="30" spans="1:43" ht="17.5" customHeight="1" x14ac:dyDescent="0.3">
      <c r="A30" s="9" t="s">
        <v>34</v>
      </c>
      <c r="B30" s="9" t="s">
        <v>24</v>
      </c>
      <c r="C30" s="10">
        <v>29</v>
      </c>
      <c r="D30" s="9">
        <v>4</v>
      </c>
      <c r="E30" s="24">
        <v>0</v>
      </c>
      <c r="F30" s="9">
        <v>0</v>
      </c>
      <c r="G30" s="24">
        <v>0</v>
      </c>
      <c r="H30" s="9">
        <v>10</v>
      </c>
      <c r="I30" s="9">
        <v>0</v>
      </c>
      <c r="J30" s="24">
        <v>0</v>
      </c>
      <c r="K30" s="9">
        <v>0</v>
      </c>
      <c r="L30" s="24">
        <v>0</v>
      </c>
      <c r="M30" s="9">
        <v>4</v>
      </c>
      <c r="N30" s="24">
        <v>0</v>
      </c>
      <c r="O30" s="9">
        <v>0</v>
      </c>
      <c r="P30" s="24">
        <v>19</v>
      </c>
      <c r="Q30" s="9">
        <v>0</v>
      </c>
      <c r="R30" s="9">
        <v>40</v>
      </c>
      <c r="S30" s="24">
        <v>0</v>
      </c>
      <c r="T30" s="24">
        <v>20</v>
      </c>
      <c r="U30" s="9">
        <v>0</v>
      </c>
      <c r="V30" s="24">
        <v>0</v>
      </c>
      <c r="W30" s="9">
        <v>15</v>
      </c>
      <c r="X30" s="8">
        <f t="shared" si="0"/>
        <v>112</v>
      </c>
      <c r="Y30" s="16"/>
      <c r="Z30" s="3">
        <v>0</v>
      </c>
      <c r="AA30" s="9">
        <v>9</v>
      </c>
      <c r="AB30" s="3">
        <v>0</v>
      </c>
      <c r="AC30" s="9">
        <v>0</v>
      </c>
      <c r="AD30" s="9">
        <v>0</v>
      </c>
      <c r="AE30">
        <v>0</v>
      </c>
      <c r="AF30">
        <v>0</v>
      </c>
      <c r="AG30" s="9">
        <v>0</v>
      </c>
      <c r="AH30">
        <v>0</v>
      </c>
      <c r="AI30">
        <v>0</v>
      </c>
      <c r="AJ30" s="9">
        <v>0</v>
      </c>
      <c r="AK30" s="9">
        <v>0</v>
      </c>
      <c r="AL30">
        <v>0</v>
      </c>
      <c r="AM30" s="9">
        <v>0</v>
      </c>
      <c r="AN30" s="9">
        <v>0</v>
      </c>
      <c r="AO30">
        <v>0</v>
      </c>
      <c r="AP30">
        <v>0</v>
      </c>
      <c r="AQ30">
        <v>0</v>
      </c>
    </row>
    <row r="31" spans="1:43" ht="17.5" customHeight="1" x14ac:dyDescent="0.3">
      <c r="A31" s="9" t="s">
        <v>34</v>
      </c>
      <c r="B31" s="9" t="s">
        <v>24</v>
      </c>
      <c r="C31" s="10">
        <v>30</v>
      </c>
      <c r="D31" s="9">
        <v>9</v>
      </c>
      <c r="E31" s="24">
        <v>0</v>
      </c>
      <c r="F31" s="9">
        <v>0</v>
      </c>
      <c r="G31" s="24">
        <v>0</v>
      </c>
      <c r="H31" s="9">
        <v>0</v>
      </c>
      <c r="I31" s="9">
        <v>0</v>
      </c>
      <c r="J31" s="24">
        <v>0</v>
      </c>
      <c r="K31" s="9">
        <v>0</v>
      </c>
      <c r="L31" s="24">
        <v>0</v>
      </c>
      <c r="M31" s="9">
        <v>0</v>
      </c>
      <c r="N31" s="24">
        <v>0</v>
      </c>
      <c r="O31" s="9">
        <v>0</v>
      </c>
      <c r="P31" s="24">
        <v>27</v>
      </c>
      <c r="Q31" s="9">
        <v>0</v>
      </c>
      <c r="R31" s="9">
        <v>80</v>
      </c>
      <c r="S31" s="24">
        <v>0</v>
      </c>
      <c r="T31" s="24">
        <v>0</v>
      </c>
      <c r="U31" s="9">
        <v>0</v>
      </c>
      <c r="V31" s="24">
        <v>0</v>
      </c>
      <c r="W31" s="9">
        <v>0</v>
      </c>
      <c r="X31" s="8">
        <f t="shared" si="0"/>
        <v>116</v>
      </c>
      <c r="Y31" s="16"/>
      <c r="Z31" s="3">
        <v>0</v>
      </c>
      <c r="AA31" s="9">
        <v>6</v>
      </c>
      <c r="AB31" s="3">
        <v>0</v>
      </c>
      <c r="AC31" s="9">
        <v>0</v>
      </c>
      <c r="AD31" s="9">
        <v>0</v>
      </c>
      <c r="AE31">
        <v>0</v>
      </c>
      <c r="AF31">
        <v>0</v>
      </c>
      <c r="AG31" s="9">
        <v>0</v>
      </c>
      <c r="AH31">
        <v>0</v>
      </c>
      <c r="AI31">
        <v>0</v>
      </c>
      <c r="AJ31" s="9">
        <v>0</v>
      </c>
      <c r="AK31" s="9">
        <v>0</v>
      </c>
      <c r="AL31">
        <v>0</v>
      </c>
      <c r="AM31" s="9">
        <v>0</v>
      </c>
      <c r="AN31" s="9">
        <v>0</v>
      </c>
      <c r="AO31">
        <v>0</v>
      </c>
      <c r="AP31">
        <v>0</v>
      </c>
      <c r="AQ31">
        <v>0</v>
      </c>
    </row>
    <row r="32" spans="1:43" ht="17.5" customHeight="1" x14ac:dyDescent="0.3">
      <c r="A32" s="9" t="s">
        <v>35</v>
      </c>
      <c r="B32" s="9" t="s">
        <v>24</v>
      </c>
      <c r="C32" s="10">
        <v>31</v>
      </c>
      <c r="D32" s="9">
        <v>0</v>
      </c>
      <c r="E32" s="24">
        <v>0</v>
      </c>
      <c r="F32" s="9">
        <v>0</v>
      </c>
      <c r="G32" s="24">
        <v>0</v>
      </c>
      <c r="H32" s="9">
        <v>0</v>
      </c>
      <c r="I32" s="9">
        <v>0</v>
      </c>
      <c r="J32" s="24">
        <v>8</v>
      </c>
      <c r="K32" s="9">
        <v>0</v>
      </c>
      <c r="L32" s="24">
        <v>0</v>
      </c>
      <c r="M32" s="9">
        <v>6</v>
      </c>
      <c r="N32" s="24">
        <v>0</v>
      </c>
      <c r="O32" s="9">
        <v>0</v>
      </c>
      <c r="P32" s="24">
        <v>0</v>
      </c>
      <c r="Q32" s="9">
        <v>0</v>
      </c>
      <c r="R32" s="9">
        <v>60</v>
      </c>
      <c r="S32" s="24">
        <v>0</v>
      </c>
      <c r="T32" s="24">
        <v>0</v>
      </c>
      <c r="U32" s="9">
        <v>16</v>
      </c>
      <c r="V32" s="24">
        <v>0</v>
      </c>
      <c r="W32" s="9">
        <v>10</v>
      </c>
      <c r="X32" s="8">
        <f t="shared" si="0"/>
        <v>100</v>
      </c>
      <c r="Y32" s="16"/>
      <c r="Z32" s="3">
        <v>0</v>
      </c>
      <c r="AA32" s="9">
        <v>6</v>
      </c>
      <c r="AB32" s="3">
        <v>0</v>
      </c>
      <c r="AC32" s="9">
        <v>0</v>
      </c>
      <c r="AD32" s="9">
        <v>0</v>
      </c>
      <c r="AE32">
        <v>0</v>
      </c>
      <c r="AF32">
        <v>0</v>
      </c>
      <c r="AG32" s="9">
        <v>0</v>
      </c>
      <c r="AH32">
        <v>0</v>
      </c>
      <c r="AI32">
        <v>0</v>
      </c>
      <c r="AJ32" s="9">
        <v>0</v>
      </c>
      <c r="AK32" s="9">
        <v>0</v>
      </c>
      <c r="AL32">
        <v>0</v>
      </c>
      <c r="AM32" s="9">
        <v>0</v>
      </c>
      <c r="AN32" s="9">
        <v>0</v>
      </c>
      <c r="AO32">
        <v>0</v>
      </c>
      <c r="AP32">
        <v>0</v>
      </c>
      <c r="AQ32">
        <v>0</v>
      </c>
    </row>
    <row r="33" spans="1:43" ht="17.5" customHeight="1" x14ac:dyDescent="0.3">
      <c r="A33" s="9" t="s">
        <v>35</v>
      </c>
      <c r="B33" s="9" t="s">
        <v>24</v>
      </c>
      <c r="C33" s="10">
        <v>32</v>
      </c>
      <c r="D33" s="9">
        <v>12</v>
      </c>
      <c r="E33" s="24">
        <v>0</v>
      </c>
      <c r="F33" s="9">
        <v>0</v>
      </c>
      <c r="G33" s="24">
        <v>0</v>
      </c>
      <c r="H33" s="9">
        <v>0</v>
      </c>
      <c r="I33" s="9">
        <v>0</v>
      </c>
      <c r="J33" s="24">
        <v>5</v>
      </c>
      <c r="K33" s="9">
        <v>0</v>
      </c>
      <c r="L33" s="24">
        <v>0</v>
      </c>
      <c r="M33" s="9">
        <v>10</v>
      </c>
      <c r="N33" s="24">
        <v>0</v>
      </c>
      <c r="O33" s="9">
        <v>0</v>
      </c>
      <c r="P33" s="24">
        <v>18</v>
      </c>
      <c r="Q33" s="9">
        <v>0</v>
      </c>
      <c r="R33" s="9">
        <v>60</v>
      </c>
      <c r="S33" s="24">
        <v>0</v>
      </c>
      <c r="T33" s="24">
        <v>0</v>
      </c>
      <c r="U33" s="9">
        <v>0</v>
      </c>
      <c r="V33" s="24">
        <v>0</v>
      </c>
      <c r="W33" s="9">
        <v>0</v>
      </c>
      <c r="X33" s="8">
        <f t="shared" si="0"/>
        <v>105</v>
      </c>
      <c r="Y33" s="16"/>
      <c r="Z33" s="3">
        <v>0</v>
      </c>
      <c r="AA33" s="9">
        <v>0</v>
      </c>
      <c r="AB33" s="3">
        <v>0</v>
      </c>
      <c r="AC33" s="9">
        <v>0</v>
      </c>
      <c r="AD33" s="9">
        <v>0</v>
      </c>
      <c r="AE33">
        <v>0</v>
      </c>
      <c r="AF33">
        <v>0</v>
      </c>
      <c r="AG33" s="9">
        <v>0</v>
      </c>
      <c r="AH33">
        <v>0</v>
      </c>
      <c r="AI33">
        <v>0</v>
      </c>
      <c r="AJ33" s="9">
        <v>0</v>
      </c>
      <c r="AK33" s="9">
        <v>0</v>
      </c>
      <c r="AL33">
        <v>0</v>
      </c>
      <c r="AM33" s="9">
        <v>0</v>
      </c>
      <c r="AN33" s="9">
        <v>0</v>
      </c>
      <c r="AO33">
        <v>0</v>
      </c>
      <c r="AP33">
        <v>0</v>
      </c>
      <c r="AQ33">
        <v>0</v>
      </c>
    </row>
    <row r="34" spans="1:43" ht="17.5" customHeight="1" x14ac:dyDescent="0.3">
      <c r="A34" s="9" t="s">
        <v>35</v>
      </c>
      <c r="B34" s="9" t="s">
        <v>24</v>
      </c>
      <c r="C34" s="10">
        <v>33</v>
      </c>
      <c r="D34" s="9">
        <v>8</v>
      </c>
      <c r="E34" s="24">
        <v>6</v>
      </c>
      <c r="F34" s="9">
        <v>0</v>
      </c>
      <c r="G34" s="24">
        <v>0</v>
      </c>
      <c r="H34" s="9">
        <v>0</v>
      </c>
      <c r="I34" s="9">
        <v>0</v>
      </c>
      <c r="J34" s="24">
        <v>5</v>
      </c>
      <c r="K34" s="9">
        <v>0</v>
      </c>
      <c r="L34" s="24">
        <v>0</v>
      </c>
      <c r="M34" s="9">
        <v>6</v>
      </c>
      <c r="N34" s="24">
        <v>0</v>
      </c>
      <c r="O34" s="9">
        <v>0</v>
      </c>
      <c r="P34" s="24">
        <v>12</v>
      </c>
      <c r="Q34" s="9">
        <v>0</v>
      </c>
      <c r="R34" s="9">
        <v>65</v>
      </c>
      <c r="S34" s="24">
        <v>0</v>
      </c>
      <c r="T34" s="24">
        <v>28</v>
      </c>
      <c r="U34" s="9">
        <v>0</v>
      </c>
      <c r="V34" s="24">
        <v>0</v>
      </c>
      <c r="W34" s="9">
        <v>0</v>
      </c>
      <c r="X34" s="8">
        <f t="shared" ref="X34:X62" si="1">SUM(D34:W34)</f>
        <v>130</v>
      </c>
      <c r="Y34" s="16"/>
      <c r="Z34" s="3">
        <v>0</v>
      </c>
      <c r="AA34" s="9">
        <v>0</v>
      </c>
      <c r="AB34" s="3">
        <v>0</v>
      </c>
      <c r="AC34" s="9">
        <v>0</v>
      </c>
      <c r="AD34" s="9">
        <v>0</v>
      </c>
      <c r="AE34">
        <v>0</v>
      </c>
      <c r="AF34">
        <v>0</v>
      </c>
      <c r="AG34" s="9">
        <v>0</v>
      </c>
      <c r="AH34">
        <v>0</v>
      </c>
      <c r="AI34">
        <v>0</v>
      </c>
      <c r="AJ34" s="9">
        <v>0</v>
      </c>
      <c r="AK34" s="9">
        <v>0</v>
      </c>
      <c r="AL34">
        <v>0</v>
      </c>
      <c r="AM34" s="9">
        <v>0</v>
      </c>
      <c r="AN34" s="9">
        <v>0</v>
      </c>
      <c r="AO34">
        <v>0</v>
      </c>
      <c r="AP34">
        <v>0</v>
      </c>
      <c r="AQ34">
        <v>0</v>
      </c>
    </row>
    <row r="35" spans="1:43" ht="17.5" customHeight="1" x14ac:dyDescent="0.3">
      <c r="A35" s="9" t="s">
        <v>36</v>
      </c>
      <c r="B35" s="9" t="s">
        <v>24</v>
      </c>
      <c r="C35" s="10">
        <v>34</v>
      </c>
      <c r="D35" s="9">
        <v>1</v>
      </c>
      <c r="E35" s="24">
        <v>0</v>
      </c>
      <c r="F35" s="9">
        <v>0</v>
      </c>
      <c r="G35" s="24">
        <v>0</v>
      </c>
      <c r="H35" s="9">
        <v>0</v>
      </c>
      <c r="I35" s="9">
        <v>0</v>
      </c>
      <c r="J35" s="24">
        <v>0</v>
      </c>
      <c r="K35" s="9">
        <v>0</v>
      </c>
      <c r="L35" s="24">
        <v>0</v>
      </c>
      <c r="M35" s="9">
        <v>0</v>
      </c>
      <c r="N35" s="24">
        <v>0</v>
      </c>
      <c r="O35" s="9">
        <v>0</v>
      </c>
      <c r="P35" s="9">
        <v>4</v>
      </c>
      <c r="Q35" s="9">
        <v>0</v>
      </c>
      <c r="R35" s="9">
        <v>95</v>
      </c>
      <c r="S35" s="24">
        <v>0</v>
      </c>
      <c r="T35" s="24">
        <v>0</v>
      </c>
      <c r="U35" s="24">
        <v>0</v>
      </c>
      <c r="V35" s="24">
        <v>0</v>
      </c>
      <c r="W35" s="9">
        <v>0</v>
      </c>
      <c r="X35" s="8">
        <f t="shared" si="1"/>
        <v>100</v>
      </c>
      <c r="Z35" s="3">
        <v>0</v>
      </c>
      <c r="AA35" s="9">
        <v>2</v>
      </c>
      <c r="AB35" s="3">
        <v>1</v>
      </c>
      <c r="AC35" s="9">
        <v>0</v>
      </c>
      <c r="AD35" s="9">
        <v>0</v>
      </c>
      <c r="AE35">
        <v>0</v>
      </c>
      <c r="AF35" s="9">
        <v>0</v>
      </c>
      <c r="AG35" s="3">
        <v>0</v>
      </c>
      <c r="AH35">
        <v>0</v>
      </c>
      <c r="AI35">
        <v>0</v>
      </c>
      <c r="AJ35" s="9">
        <v>0</v>
      </c>
      <c r="AK35" s="9">
        <v>0</v>
      </c>
      <c r="AL35">
        <v>0</v>
      </c>
      <c r="AM35" s="9">
        <v>0</v>
      </c>
      <c r="AN35" s="9">
        <v>0</v>
      </c>
      <c r="AO35">
        <v>0</v>
      </c>
      <c r="AP35">
        <v>0</v>
      </c>
      <c r="AQ35" s="3">
        <v>0</v>
      </c>
    </row>
    <row r="36" spans="1:43" ht="17.5" customHeight="1" x14ac:dyDescent="0.3">
      <c r="A36" s="9" t="s">
        <v>36</v>
      </c>
      <c r="B36" s="9" t="s">
        <v>24</v>
      </c>
      <c r="C36" s="10">
        <v>35</v>
      </c>
      <c r="D36" s="9">
        <v>3</v>
      </c>
      <c r="E36" s="24">
        <v>0</v>
      </c>
      <c r="F36" s="9">
        <v>0</v>
      </c>
      <c r="G36" s="24">
        <v>0</v>
      </c>
      <c r="H36" s="9">
        <v>0</v>
      </c>
      <c r="I36" s="9">
        <v>0</v>
      </c>
      <c r="J36" s="9">
        <v>1</v>
      </c>
      <c r="K36" s="9">
        <v>0</v>
      </c>
      <c r="L36" s="24">
        <v>0</v>
      </c>
      <c r="M36" s="9">
        <v>0</v>
      </c>
      <c r="N36" s="24">
        <v>0</v>
      </c>
      <c r="O36" s="9">
        <v>0</v>
      </c>
      <c r="P36" s="9">
        <v>3</v>
      </c>
      <c r="Q36" s="9">
        <v>0</v>
      </c>
      <c r="R36" s="9">
        <v>95</v>
      </c>
      <c r="S36" s="24">
        <v>0</v>
      </c>
      <c r="T36" s="24">
        <v>0</v>
      </c>
      <c r="U36" s="24">
        <v>0</v>
      </c>
      <c r="V36" s="24">
        <v>0</v>
      </c>
      <c r="W36" s="9">
        <v>0</v>
      </c>
      <c r="X36" s="8">
        <f t="shared" si="1"/>
        <v>102</v>
      </c>
      <c r="Z36" s="3">
        <v>0</v>
      </c>
      <c r="AA36" s="9">
        <v>0</v>
      </c>
      <c r="AB36" s="3">
        <v>0</v>
      </c>
      <c r="AC36" s="9">
        <v>0</v>
      </c>
      <c r="AD36" s="9">
        <v>0</v>
      </c>
      <c r="AE36">
        <v>0</v>
      </c>
      <c r="AF36" s="9">
        <v>0</v>
      </c>
      <c r="AG36" s="3">
        <v>0</v>
      </c>
      <c r="AH36">
        <v>1</v>
      </c>
      <c r="AI36">
        <v>0</v>
      </c>
      <c r="AJ36" s="9">
        <v>1</v>
      </c>
      <c r="AK36" s="9">
        <v>0</v>
      </c>
      <c r="AL36">
        <v>0</v>
      </c>
      <c r="AM36" s="9">
        <v>0</v>
      </c>
      <c r="AN36" s="9">
        <v>0</v>
      </c>
      <c r="AO36">
        <v>0</v>
      </c>
      <c r="AP36">
        <v>0</v>
      </c>
      <c r="AQ36" s="3">
        <v>1</v>
      </c>
    </row>
    <row r="37" spans="1:43" ht="17.5" customHeight="1" x14ac:dyDescent="0.3">
      <c r="A37" s="9" t="s">
        <v>36</v>
      </c>
      <c r="B37" s="9" t="s">
        <v>24</v>
      </c>
      <c r="C37" s="10">
        <v>36</v>
      </c>
      <c r="D37" s="9">
        <v>2</v>
      </c>
      <c r="E37" s="24">
        <v>0</v>
      </c>
      <c r="F37" s="9">
        <v>0</v>
      </c>
      <c r="G37" s="24">
        <v>0</v>
      </c>
      <c r="H37" s="9">
        <v>0</v>
      </c>
      <c r="I37" s="9">
        <v>0</v>
      </c>
      <c r="J37" s="24">
        <v>0</v>
      </c>
      <c r="K37" s="9">
        <v>0</v>
      </c>
      <c r="L37" s="24">
        <v>0</v>
      </c>
      <c r="M37" s="9">
        <v>0</v>
      </c>
      <c r="N37" s="24">
        <v>0</v>
      </c>
      <c r="O37" s="9">
        <v>0</v>
      </c>
      <c r="P37" s="9">
        <v>0</v>
      </c>
      <c r="Q37" s="9">
        <v>0</v>
      </c>
      <c r="R37" s="9">
        <v>100</v>
      </c>
      <c r="S37" s="24">
        <v>0</v>
      </c>
      <c r="T37" s="24">
        <v>0</v>
      </c>
      <c r="U37" s="24">
        <v>0</v>
      </c>
      <c r="V37" s="24">
        <v>0</v>
      </c>
      <c r="W37" s="9">
        <v>0</v>
      </c>
      <c r="X37" s="8">
        <f t="shared" si="1"/>
        <v>102</v>
      </c>
      <c r="Z37" s="3">
        <v>6</v>
      </c>
      <c r="AA37" s="9">
        <v>0</v>
      </c>
      <c r="AB37" s="3">
        <v>0</v>
      </c>
      <c r="AC37" s="9">
        <v>1</v>
      </c>
      <c r="AD37" s="9">
        <v>0</v>
      </c>
      <c r="AE37">
        <v>0</v>
      </c>
      <c r="AF37" s="9">
        <v>0</v>
      </c>
      <c r="AG37" s="3">
        <v>0</v>
      </c>
      <c r="AH37">
        <v>1</v>
      </c>
      <c r="AI37">
        <v>0</v>
      </c>
      <c r="AJ37" s="9">
        <v>0</v>
      </c>
      <c r="AK37" s="9">
        <v>0</v>
      </c>
      <c r="AL37">
        <v>0</v>
      </c>
      <c r="AM37" s="9">
        <v>0</v>
      </c>
      <c r="AN37" s="9">
        <v>0</v>
      </c>
      <c r="AO37">
        <v>0</v>
      </c>
      <c r="AP37">
        <v>0</v>
      </c>
      <c r="AQ37" s="3">
        <v>0</v>
      </c>
    </row>
    <row r="38" spans="1:43" ht="17.5" customHeight="1" x14ac:dyDescent="0.3">
      <c r="A38" s="9" t="s">
        <v>37</v>
      </c>
      <c r="B38" s="9" t="s">
        <v>24</v>
      </c>
      <c r="C38" s="10">
        <v>37</v>
      </c>
      <c r="D38" s="9">
        <v>0</v>
      </c>
      <c r="E38" s="24">
        <v>0</v>
      </c>
      <c r="F38" s="9">
        <v>0</v>
      </c>
      <c r="G38" s="24">
        <v>0</v>
      </c>
      <c r="H38" s="9">
        <v>0</v>
      </c>
      <c r="I38" s="9">
        <v>0</v>
      </c>
      <c r="J38" s="24">
        <v>0</v>
      </c>
      <c r="K38" s="9">
        <v>0</v>
      </c>
      <c r="L38" s="24">
        <v>0</v>
      </c>
      <c r="M38" s="9">
        <v>0</v>
      </c>
      <c r="N38" s="24">
        <v>0</v>
      </c>
      <c r="O38" s="9">
        <v>0</v>
      </c>
      <c r="P38" s="9">
        <v>0</v>
      </c>
      <c r="Q38" s="9">
        <v>0</v>
      </c>
      <c r="R38" s="9">
        <v>95</v>
      </c>
      <c r="S38" s="24">
        <v>0</v>
      </c>
      <c r="T38" s="24">
        <v>0</v>
      </c>
      <c r="U38" s="24">
        <v>0</v>
      </c>
      <c r="V38" s="24">
        <v>0</v>
      </c>
      <c r="W38" s="9">
        <v>5</v>
      </c>
      <c r="X38" s="8">
        <f t="shared" si="1"/>
        <v>100</v>
      </c>
      <c r="Z38" s="3">
        <v>0</v>
      </c>
      <c r="AA38" s="9">
        <v>2</v>
      </c>
      <c r="AB38" s="3">
        <v>0</v>
      </c>
      <c r="AC38" s="9">
        <v>1</v>
      </c>
      <c r="AD38" s="9">
        <v>0</v>
      </c>
      <c r="AE38">
        <v>0</v>
      </c>
      <c r="AF38" s="9">
        <v>0</v>
      </c>
      <c r="AG38" s="3">
        <v>1</v>
      </c>
      <c r="AH38">
        <v>0</v>
      </c>
      <c r="AI38">
        <v>0</v>
      </c>
      <c r="AJ38" s="9">
        <v>0</v>
      </c>
      <c r="AK38" s="9">
        <v>0</v>
      </c>
      <c r="AL38">
        <v>0</v>
      </c>
      <c r="AM38" s="9">
        <v>0</v>
      </c>
      <c r="AN38" s="9">
        <v>0</v>
      </c>
      <c r="AO38">
        <v>0</v>
      </c>
      <c r="AP38">
        <v>0</v>
      </c>
      <c r="AQ38" s="3">
        <v>0</v>
      </c>
    </row>
    <row r="39" spans="1:43" ht="17.5" customHeight="1" x14ac:dyDescent="0.3">
      <c r="A39" s="9" t="s">
        <v>37</v>
      </c>
      <c r="B39" s="9" t="s">
        <v>24</v>
      </c>
      <c r="C39" s="10">
        <v>38</v>
      </c>
      <c r="D39" s="9">
        <v>0</v>
      </c>
      <c r="E39" s="24">
        <v>0</v>
      </c>
      <c r="F39" s="9">
        <v>0</v>
      </c>
      <c r="G39" s="24">
        <v>0</v>
      </c>
      <c r="H39" s="9">
        <v>0</v>
      </c>
      <c r="I39" s="9">
        <v>0</v>
      </c>
      <c r="J39" s="24">
        <v>0</v>
      </c>
      <c r="K39" s="9">
        <v>0</v>
      </c>
      <c r="L39" s="24">
        <v>0</v>
      </c>
      <c r="M39" s="9">
        <v>0</v>
      </c>
      <c r="N39" s="24">
        <v>0</v>
      </c>
      <c r="O39" s="9">
        <v>2</v>
      </c>
      <c r="P39" s="9">
        <v>20</v>
      </c>
      <c r="Q39" s="9">
        <v>0</v>
      </c>
      <c r="R39" s="9">
        <v>70</v>
      </c>
      <c r="S39" s="9">
        <v>8</v>
      </c>
      <c r="T39" s="24">
        <v>0</v>
      </c>
      <c r="U39" s="24">
        <v>0</v>
      </c>
      <c r="V39" s="24">
        <v>0</v>
      </c>
      <c r="W39" s="9">
        <v>0</v>
      </c>
      <c r="X39" s="8">
        <f t="shared" si="1"/>
        <v>100</v>
      </c>
      <c r="Z39" s="3">
        <v>0</v>
      </c>
      <c r="AA39" s="9">
        <v>1</v>
      </c>
      <c r="AB39" s="3">
        <v>0</v>
      </c>
      <c r="AC39" s="9">
        <v>0</v>
      </c>
      <c r="AD39" s="9">
        <v>0</v>
      </c>
      <c r="AE39">
        <v>0</v>
      </c>
      <c r="AF39" s="9">
        <v>0</v>
      </c>
      <c r="AG39" s="9">
        <v>0</v>
      </c>
      <c r="AH39">
        <v>0</v>
      </c>
      <c r="AI39">
        <v>0</v>
      </c>
      <c r="AJ39" s="9">
        <v>0</v>
      </c>
      <c r="AK39" s="9">
        <v>0</v>
      </c>
      <c r="AL39">
        <v>0</v>
      </c>
      <c r="AM39" s="9">
        <v>0</v>
      </c>
      <c r="AN39" s="9">
        <v>0</v>
      </c>
      <c r="AO39">
        <v>0</v>
      </c>
      <c r="AP39">
        <v>0</v>
      </c>
      <c r="AQ39" s="3">
        <v>0</v>
      </c>
    </row>
    <row r="40" spans="1:43" ht="17.5" customHeight="1" x14ac:dyDescent="0.3">
      <c r="A40" s="9" t="s">
        <v>37</v>
      </c>
      <c r="B40" s="9" t="s">
        <v>24</v>
      </c>
      <c r="C40" s="10">
        <v>39</v>
      </c>
      <c r="D40" s="9">
        <v>1</v>
      </c>
      <c r="E40" s="24">
        <v>0</v>
      </c>
      <c r="F40" s="9">
        <v>0</v>
      </c>
      <c r="G40" s="24">
        <v>0</v>
      </c>
      <c r="H40" s="9">
        <v>0</v>
      </c>
      <c r="I40" s="9">
        <v>0</v>
      </c>
      <c r="J40" s="24">
        <v>0</v>
      </c>
      <c r="K40" s="9">
        <v>0</v>
      </c>
      <c r="L40" s="24">
        <v>0</v>
      </c>
      <c r="M40" s="9">
        <v>1</v>
      </c>
      <c r="N40" s="24">
        <v>0</v>
      </c>
      <c r="O40" s="9">
        <v>0</v>
      </c>
      <c r="P40" s="9">
        <v>8</v>
      </c>
      <c r="Q40" s="9">
        <v>0</v>
      </c>
      <c r="R40" s="9">
        <v>90</v>
      </c>
      <c r="S40" s="24">
        <v>0</v>
      </c>
      <c r="T40" s="24">
        <v>0</v>
      </c>
      <c r="U40" s="24">
        <v>0</v>
      </c>
      <c r="V40" s="24">
        <v>0</v>
      </c>
      <c r="W40" s="9">
        <v>0</v>
      </c>
      <c r="X40" s="8">
        <f t="shared" si="1"/>
        <v>100</v>
      </c>
      <c r="Z40" s="3">
        <v>0</v>
      </c>
      <c r="AA40" s="9">
        <v>4</v>
      </c>
      <c r="AB40" s="3">
        <v>1</v>
      </c>
      <c r="AC40" s="9">
        <v>1</v>
      </c>
      <c r="AD40" s="9">
        <v>0</v>
      </c>
      <c r="AE40">
        <v>0</v>
      </c>
      <c r="AF40" s="9">
        <v>0</v>
      </c>
      <c r="AG40" s="9">
        <v>0</v>
      </c>
      <c r="AH40">
        <v>0</v>
      </c>
      <c r="AI40">
        <v>0</v>
      </c>
      <c r="AJ40" s="9">
        <v>0</v>
      </c>
      <c r="AK40" s="9">
        <v>0</v>
      </c>
      <c r="AL40">
        <v>0</v>
      </c>
      <c r="AM40" s="9">
        <v>0</v>
      </c>
      <c r="AN40" s="9">
        <v>0</v>
      </c>
      <c r="AO40">
        <v>0</v>
      </c>
      <c r="AP40">
        <v>0</v>
      </c>
      <c r="AQ40" s="3">
        <v>0</v>
      </c>
    </row>
    <row r="41" spans="1:43" ht="17.5" customHeight="1" x14ac:dyDescent="0.3">
      <c r="A41" s="9" t="s">
        <v>38</v>
      </c>
      <c r="B41" s="9" t="s">
        <v>39</v>
      </c>
      <c r="C41" s="10">
        <v>1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24">
        <v>0</v>
      </c>
      <c r="K41" s="9">
        <v>0</v>
      </c>
      <c r="L41" s="9">
        <v>0</v>
      </c>
      <c r="M41" s="9">
        <v>5.5</v>
      </c>
      <c r="N41" s="9">
        <v>0</v>
      </c>
      <c r="O41" s="9">
        <v>22</v>
      </c>
      <c r="P41" s="9">
        <v>4</v>
      </c>
      <c r="Q41" s="9">
        <v>0</v>
      </c>
      <c r="R41" s="9">
        <v>100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8">
        <f t="shared" si="1"/>
        <v>131.5</v>
      </c>
      <c r="Z41" s="9">
        <v>0</v>
      </c>
      <c r="AA41" s="9">
        <v>6</v>
      </c>
      <c r="AB41" s="9">
        <v>0</v>
      </c>
      <c r="AC41" s="9">
        <v>0</v>
      </c>
      <c r="AD41" s="9">
        <v>0</v>
      </c>
      <c r="AE41">
        <v>0</v>
      </c>
      <c r="AF41" s="9">
        <v>0</v>
      </c>
      <c r="AG41" s="9">
        <v>0</v>
      </c>
      <c r="AH41" s="9">
        <v>0</v>
      </c>
      <c r="AI41">
        <v>0</v>
      </c>
      <c r="AJ41" s="9">
        <v>0</v>
      </c>
      <c r="AK41" s="9">
        <v>0</v>
      </c>
      <c r="AL41">
        <v>0</v>
      </c>
      <c r="AM41" s="9">
        <v>0</v>
      </c>
      <c r="AN41" s="9">
        <v>0</v>
      </c>
      <c r="AO41">
        <v>0</v>
      </c>
      <c r="AP41">
        <v>0</v>
      </c>
      <c r="AQ41" s="9">
        <v>0</v>
      </c>
    </row>
    <row r="42" spans="1:43" ht="17.5" customHeight="1" x14ac:dyDescent="0.3">
      <c r="A42" s="3" t="s">
        <v>38</v>
      </c>
      <c r="B42" s="9" t="s">
        <v>39</v>
      </c>
      <c r="C42" s="10">
        <v>2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0.1</v>
      </c>
      <c r="N42" s="9">
        <v>0</v>
      </c>
      <c r="O42" s="9">
        <v>2</v>
      </c>
      <c r="P42" s="9">
        <v>0.3</v>
      </c>
      <c r="Q42" s="9">
        <v>0</v>
      </c>
      <c r="R42" s="9">
        <v>100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8">
        <f t="shared" si="1"/>
        <v>102.4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>
        <v>0</v>
      </c>
      <c r="AF42" s="9">
        <v>0</v>
      </c>
      <c r="AG42" s="3">
        <v>1</v>
      </c>
      <c r="AH42" s="9">
        <v>0</v>
      </c>
      <c r="AI42">
        <v>0</v>
      </c>
      <c r="AJ42" s="9">
        <v>0</v>
      </c>
      <c r="AK42" s="9">
        <v>0</v>
      </c>
      <c r="AL42">
        <v>0</v>
      </c>
      <c r="AM42" s="9">
        <v>0</v>
      </c>
      <c r="AN42" s="9">
        <v>0</v>
      </c>
      <c r="AO42">
        <v>0</v>
      </c>
      <c r="AP42">
        <v>0</v>
      </c>
      <c r="AQ42" s="9">
        <v>0</v>
      </c>
    </row>
    <row r="43" spans="1:43" ht="17.5" customHeight="1" x14ac:dyDescent="0.3">
      <c r="A43" s="9" t="s">
        <v>38</v>
      </c>
      <c r="B43" s="9" t="s">
        <v>39</v>
      </c>
      <c r="C43" s="10">
        <v>3</v>
      </c>
      <c r="D43" s="9">
        <v>0.3</v>
      </c>
      <c r="E43" s="9">
        <v>1</v>
      </c>
      <c r="F43" s="9">
        <v>0</v>
      </c>
      <c r="G43" s="9">
        <v>0</v>
      </c>
      <c r="H43" s="9">
        <v>0</v>
      </c>
      <c r="I43" s="9">
        <v>0</v>
      </c>
      <c r="J43" s="9">
        <v>2</v>
      </c>
      <c r="K43" s="9">
        <v>0</v>
      </c>
      <c r="L43" s="9">
        <v>0</v>
      </c>
      <c r="M43" s="9">
        <v>4</v>
      </c>
      <c r="N43" s="9">
        <v>0</v>
      </c>
      <c r="O43" s="9">
        <v>48</v>
      </c>
      <c r="P43" s="9">
        <v>0.2</v>
      </c>
      <c r="Q43" s="9">
        <v>0</v>
      </c>
      <c r="R43" s="9">
        <v>26</v>
      </c>
      <c r="S43" s="9">
        <v>0</v>
      </c>
      <c r="T43" s="9">
        <v>0</v>
      </c>
      <c r="U43" s="9">
        <v>0</v>
      </c>
      <c r="V43" s="9">
        <v>0</v>
      </c>
      <c r="W43" s="9">
        <v>18.5</v>
      </c>
      <c r="X43" s="8">
        <f t="shared" si="1"/>
        <v>100</v>
      </c>
      <c r="Z43" s="9">
        <v>0</v>
      </c>
      <c r="AA43" s="9">
        <v>1</v>
      </c>
      <c r="AB43" s="9">
        <v>0</v>
      </c>
      <c r="AC43" s="9">
        <v>4</v>
      </c>
      <c r="AD43" s="9">
        <v>0</v>
      </c>
      <c r="AE43">
        <v>0</v>
      </c>
      <c r="AF43" s="9">
        <v>0</v>
      </c>
      <c r="AG43" s="3">
        <v>0</v>
      </c>
      <c r="AH43" s="9">
        <v>0</v>
      </c>
      <c r="AI43">
        <v>0</v>
      </c>
      <c r="AJ43" s="9">
        <v>1</v>
      </c>
      <c r="AK43" s="9">
        <v>0</v>
      </c>
      <c r="AL43">
        <v>0</v>
      </c>
      <c r="AM43" s="9">
        <v>0</v>
      </c>
      <c r="AN43" s="9">
        <v>0</v>
      </c>
      <c r="AO43">
        <v>0</v>
      </c>
      <c r="AP43">
        <v>0</v>
      </c>
      <c r="AQ43" s="9">
        <v>0</v>
      </c>
    </row>
    <row r="44" spans="1:43" ht="17.5" customHeight="1" x14ac:dyDescent="0.3">
      <c r="A44" s="9" t="s">
        <v>40</v>
      </c>
      <c r="B44" s="9" t="s">
        <v>39</v>
      </c>
      <c r="C44" s="10">
        <v>4</v>
      </c>
      <c r="D44" s="9">
        <v>0.2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6</v>
      </c>
      <c r="K44" s="9">
        <v>0</v>
      </c>
      <c r="L44" s="9">
        <v>0</v>
      </c>
      <c r="M44" s="9">
        <v>5.5</v>
      </c>
      <c r="N44" s="9">
        <v>0</v>
      </c>
      <c r="O44" s="9">
        <v>15</v>
      </c>
      <c r="P44" s="9">
        <v>3</v>
      </c>
      <c r="Q44" s="9">
        <v>0</v>
      </c>
      <c r="R44" s="9">
        <v>100</v>
      </c>
      <c r="S44" s="9">
        <v>0</v>
      </c>
      <c r="T44" s="9">
        <v>0</v>
      </c>
      <c r="U44" s="9">
        <v>0</v>
      </c>
      <c r="V44" s="9">
        <v>0.2</v>
      </c>
      <c r="W44" s="9">
        <v>0</v>
      </c>
      <c r="X44" s="8">
        <f t="shared" si="1"/>
        <v>129.89999999999998</v>
      </c>
      <c r="Z44" s="3">
        <v>0</v>
      </c>
      <c r="AA44" s="9">
        <v>0</v>
      </c>
      <c r="AB44" s="3">
        <v>0</v>
      </c>
      <c r="AC44" s="9">
        <v>1</v>
      </c>
      <c r="AD44" s="9">
        <v>0</v>
      </c>
      <c r="AE44">
        <v>0</v>
      </c>
      <c r="AF44">
        <v>0</v>
      </c>
      <c r="AG44" s="3">
        <v>0</v>
      </c>
      <c r="AH44">
        <v>0</v>
      </c>
      <c r="AI44">
        <v>0</v>
      </c>
      <c r="AJ44" s="9">
        <v>0</v>
      </c>
      <c r="AK44" s="9">
        <v>0</v>
      </c>
      <c r="AL44">
        <v>0</v>
      </c>
      <c r="AM44" s="9">
        <v>0</v>
      </c>
      <c r="AN44" s="3">
        <v>0</v>
      </c>
      <c r="AO44">
        <v>0</v>
      </c>
      <c r="AP44">
        <v>0</v>
      </c>
      <c r="AQ44" s="3">
        <v>0</v>
      </c>
    </row>
    <row r="45" spans="1:43" ht="17.5" customHeight="1" x14ac:dyDescent="0.3">
      <c r="A45" s="9" t="s">
        <v>40</v>
      </c>
      <c r="B45" s="9" t="s">
        <v>39</v>
      </c>
      <c r="C45" s="10">
        <v>5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0.5</v>
      </c>
      <c r="N45" s="9">
        <v>0</v>
      </c>
      <c r="O45" s="9">
        <v>10</v>
      </c>
      <c r="P45" s="9">
        <v>0.5</v>
      </c>
      <c r="Q45" s="9">
        <v>0</v>
      </c>
      <c r="R45" s="9">
        <v>100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8">
        <f t="shared" si="1"/>
        <v>111</v>
      </c>
      <c r="Z45" s="3">
        <v>0</v>
      </c>
      <c r="AA45" s="9">
        <v>0</v>
      </c>
      <c r="AB45" s="3">
        <v>0</v>
      </c>
      <c r="AC45" s="9">
        <v>0</v>
      </c>
      <c r="AD45" s="9">
        <v>0</v>
      </c>
      <c r="AE45">
        <v>0</v>
      </c>
      <c r="AF45">
        <v>0</v>
      </c>
      <c r="AG45" s="3">
        <v>0</v>
      </c>
      <c r="AH45">
        <v>0</v>
      </c>
      <c r="AI45">
        <v>0</v>
      </c>
      <c r="AJ45" s="9">
        <v>0</v>
      </c>
      <c r="AK45" s="9">
        <v>0</v>
      </c>
      <c r="AL45">
        <v>0</v>
      </c>
      <c r="AM45" s="9">
        <v>0</v>
      </c>
      <c r="AN45" s="3">
        <v>0</v>
      </c>
      <c r="AO45">
        <v>0</v>
      </c>
      <c r="AP45">
        <v>0</v>
      </c>
      <c r="AQ45" s="3">
        <v>0</v>
      </c>
    </row>
    <row r="46" spans="1:43" ht="17.5" customHeight="1" x14ac:dyDescent="0.3">
      <c r="A46" s="9" t="s">
        <v>40</v>
      </c>
      <c r="B46" s="9" t="s">
        <v>39</v>
      </c>
      <c r="C46" s="10">
        <v>6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0.5</v>
      </c>
      <c r="K46" s="9">
        <v>0</v>
      </c>
      <c r="L46" s="9">
        <v>0</v>
      </c>
      <c r="M46" s="9">
        <v>10</v>
      </c>
      <c r="N46" s="9">
        <v>0</v>
      </c>
      <c r="O46" s="9">
        <v>11</v>
      </c>
      <c r="P46" s="9">
        <v>0.2</v>
      </c>
      <c r="Q46" s="9">
        <v>0</v>
      </c>
      <c r="R46" s="9">
        <v>35</v>
      </c>
      <c r="S46" s="9">
        <v>0</v>
      </c>
      <c r="T46" s="9">
        <v>2</v>
      </c>
      <c r="U46" s="9">
        <v>0</v>
      </c>
      <c r="V46" s="9">
        <v>0</v>
      </c>
      <c r="W46" s="9">
        <v>41.3</v>
      </c>
      <c r="X46" s="8">
        <f t="shared" si="1"/>
        <v>100</v>
      </c>
      <c r="Z46" s="3">
        <v>0</v>
      </c>
      <c r="AA46" s="9">
        <v>1</v>
      </c>
      <c r="AB46" s="3">
        <v>0</v>
      </c>
      <c r="AC46" s="9">
        <v>0</v>
      </c>
      <c r="AD46" s="9">
        <v>0</v>
      </c>
      <c r="AE46">
        <v>0</v>
      </c>
      <c r="AF46">
        <v>0</v>
      </c>
      <c r="AG46" s="3">
        <v>0</v>
      </c>
      <c r="AH46">
        <v>0</v>
      </c>
      <c r="AI46">
        <v>0</v>
      </c>
      <c r="AJ46" s="9">
        <v>0</v>
      </c>
      <c r="AK46" s="9">
        <v>0</v>
      </c>
      <c r="AL46">
        <v>0</v>
      </c>
      <c r="AM46" s="9">
        <v>0</v>
      </c>
      <c r="AN46" s="3">
        <v>0</v>
      </c>
      <c r="AO46">
        <v>0</v>
      </c>
      <c r="AP46">
        <v>0</v>
      </c>
      <c r="AQ46" s="3">
        <v>0</v>
      </c>
    </row>
    <row r="47" spans="1:43" ht="17.5" customHeight="1" x14ac:dyDescent="0.3">
      <c r="A47" s="9" t="s">
        <v>41</v>
      </c>
      <c r="B47" s="9" t="s">
        <v>39</v>
      </c>
      <c r="C47" s="10">
        <v>7</v>
      </c>
      <c r="D47" s="9">
        <v>0.1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0.5</v>
      </c>
      <c r="K47" s="9">
        <v>4</v>
      </c>
      <c r="L47" s="9">
        <v>0</v>
      </c>
      <c r="M47" s="9">
        <v>0</v>
      </c>
      <c r="N47" s="9">
        <v>0</v>
      </c>
      <c r="O47" s="9">
        <v>15</v>
      </c>
      <c r="P47" s="9">
        <v>2</v>
      </c>
      <c r="Q47" s="9">
        <v>0</v>
      </c>
      <c r="R47" s="9">
        <v>100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8">
        <f t="shared" si="1"/>
        <v>121.6</v>
      </c>
      <c r="Z47" s="3">
        <v>0</v>
      </c>
      <c r="AA47" s="9">
        <v>3</v>
      </c>
      <c r="AB47" s="3">
        <v>0</v>
      </c>
      <c r="AC47" s="9">
        <v>0</v>
      </c>
      <c r="AD47" s="9">
        <v>0</v>
      </c>
      <c r="AE47">
        <v>0</v>
      </c>
      <c r="AF47">
        <v>0</v>
      </c>
      <c r="AG47" s="3">
        <v>0</v>
      </c>
      <c r="AH47">
        <v>0</v>
      </c>
      <c r="AI47">
        <v>0</v>
      </c>
      <c r="AJ47" s="9">
        <v>0</v>
      </c>
      <c r="AK47" s="9">
        <v>0</v>
      </c>
      <c r="AL47">
        <v>0</v>
      </c>
      <c r="AM47" s="9">
        <v>0</v>
      </c>
      <c r="AN47" s="3">
        <v>0</v>
      </c>
      <c r="AO47">
        <v>0</v>
      </c>
      <c r="AP47">
        <v>0</v>
      </c>
      <c r="AQ47" s="3">
        <v>0</v>
      </c>
    </row>
    <row r="48" spans="1:43" ht="17.5" customHeight="1" x14ac:dyDescent="0.3">
      <c r="A48" s="9" t="s">
        <v>41</v>
      </c>
      <c r="B48" s="9" t="s">
        <v>39</v>
      </c>
      <c r="C48" s="10">
        <v>8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5</v>
      </c>
      <c r="L48" s="9">
        <v>0</v>
      </c>
      <c r="M48" s="9">
        <v>0</v>
      </c>
      <c r="N48" s="9">
        <v>0</v>
      </c>
      <c r="O48" s="9">
        <v>35</v>
      </c>
      <c r="P48" s="9">
        <v>1</v>
      </c>
      <c r="Q48" s="9">
        <v>0</v>
      </c>
      <c r="R48" s="9">
        <v>100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8">
        <f t="shared" si="1"/>
        <v>141</v>
      </c>
      <c r="Z48" s="3">
        <v>0</v>
      </c>
      <c r="AA48" s="9">
        <v>0</v>
      </c>
      <c r="AB48" s="3">
        <v>0</v>
      </c>
      <c r="AC48" s="9">
        <v>0</v>
      </c>
      <c r="AD48" s="9">
        <v>0</v>
      </c>
      <c r="AE48">
        <v>0</v>
      </c>
      <c r="AF48">
        <v>0</v>
      </c>
      <c r="AG48" s="3">
        <v>0</v>
      </c>
      <c r="AH48">
        <v>0</v>
      </c>
      <c r="AI48">
        <v>0</v>
      </c>
      <c r="AJ48" s="9">
        <v>1</v>
      </c>
      <c r="AK48" s="9">
        <v>0</v>
      </c>
      <c r="AL48">
        <v>0</v>
      </c>
      <c r="AM48" s="9">
        <v>0</v>
      </c>
      <c r="AN48" s="3">
        <v>0</v>
      </c>
      <c r="AO48">
        <v>0</v>
      </c>
      <c r="AP48">
        <v>0</v>
      </c>
      <c r="AQ48" s="3">
        <v>0</v>
      </c>
    </row>
    <row r="49" spans="1:55" ht="17.5" customHeight="1" x14ac:dyDescent="0.3">
      <c r="A49" s="9" t="s">
        <v>41</v>
      </c>
      <c r="B49" s="9" t="s">
        <v>39</v>
      </c>
      <c r="C49" s="10">
        <v>9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8</v>
      </c>
      <c r="J49" s="9">
        <v>0</v>
      </c>
      <c r="K49" s="9">
        <v>2</v>
      </c>
      <c r="L49" s="9">
        <v>0</v>
      </c>
      <c r="M49" s="9">
        <v>0</v>
      </c>
      <c r="N49" s="9">
        <v>0</v>
      </c>
      <c r="O49" s="9">
        <v>60</v>
      </c>
      <c r="P49" s="9">
        <v>1</v>
      </c>
      <c r="Q49" s="9">
        <v>0</v>
      </c>
      <c r="R49" s="9">
        <v>100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8">
        <f t="shared" si="1"/>
        <v>171</v>
      </c>
      <c r="Z49" s="3">
        <v>0</v>
      </c>
      <c r="AA49" s="9">
        <v>1</v>
      </c>
      <c r="AB49" s="3">
        <v>0</v>
      </c>
      <c r="AC49" s="9">
        <v>1</v>
      </c>
      <c r="AD49" s="9">
        <v>0</v>
      </c>
      <c r="AE49">
        <v>0</v>
      </c>
      <c r="AF49">
        <v>0</v>
      </c>
      <c r="AG49" s="3">
        <v>0</v>
      </c>
      <c r="AH49">
        <v>0</v>
      </c>
      <c r="AI49">
        <v>0</v>
      </c>
      <c r="AJ49" s="9">
        <v>0</v>
      </c>
      <c r="AK49" s="9">
        <v>0</v>
      </c>
      <c r="AL49">
        <v>0</v>
      </c>
      <c r="AM49" s="9">
        <v>0</v>
      </c>
      <c r="AN49" s="3">
        <v>0</v>
      </c>
      <c r="AO49">
        <v>0</v>
      </c>
      <c r="AP49">
        <v>0</v>
      </c>
      <c r="AQ49" s="3">
        <v>0</v>
      </c>
    </row>
    <row r="50" spans="1:55" ht="17.5" customHeight="1" x14ac:dyDescent="0.3">
      <c r="A50" s="9" t="s">
        <v>42</v>
      </c>
      <c r="B50" s="9" t="s">
        <v>39</v>
      </c>
      <c r="C50" s="10">
        <v>10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4</v>
      </c>
      <c r="J50" s="9">
        <v>0</v>
      </c>
      <c r="K50" s="9">
        <v>0</v>
      </c>
      <c r="L50" s="9">
        <v>0</v>
      </c>
      <c r="M50" s="9">
        <v>3</v>
      </c>
      <c r="N50" s="9">
        <v>0</v>
      </c>
      <c r="O50" s="9">
        <v>20</v>
      </c>
      <c r="P50" s="9">
        <v>1</v>
      </c>
      <c r="Q50" s="9">
        <v>0</v>
      </c>
      <c r="R50" s="9">
        <v>70</v>
      </c>
      <c r="S50" s="9">
        <v>0</v>
      </c>
      <c r="T50" s="9">
        <v>0</v>
      </c>
      <c r="U50" s="9">
        <v>0</v>
      </c>
      <c r="V50" s="9">
        <v>0</v>
      </c>
      <c r="W50" s="9">
        <v>5</v>
      </c>
      <c r="X50" s="8">
        <f t="shared" si="1"/>
        <v>103</v>
      </c>
      <c r="Z50" s="3">
        <v>0</v>
      </c>
      <c r="AA50" s="9">
        <v>12</v>
      </c>
      <c r="AB50" s="3">
        <v>0</v>
      </c>
      <c r="AC50" s="9">
        <v>1</v>
      </c>
      <c r="AD50" s="9">
        <v>0</v>
      </c>
      <c r="AE50" s="3">
        <v>0</v>
      </c>
      <c r="AF50">
        <v>1</v>
      </c>
      <c r="AG50" s="3">
        <v>0</v>
      </c>
      <c r="AH50">
        <v>0</v>
      </c>
      <c r="AI50">
        <v>0</v>
      </c>
      <c r="AJ50" s="9">
        <v>0</v>
      </c>
      <c r="AK50" s="9">
        <v>0</v>
      </c>
      <c r="AL50">
        <v>0</v>
      </c>
      <c r="AM50" s="9">
        <v>0</v>
      </c>
      <c r="AN50" s="3">
        <v>0</v>
      </c>
      <c r="AO50">
        <v>0</v>
      </c>
      <c r="AP50">
        <v>0</v>
      </c>
      <c r="AQ50" s="3">
        <v>0</v>
      </c>
    </row>
    <row r="51" spans="1:55" ht="17.5" customHeight="1" x14ac:dyDescent="0.3">
      <c r="A51" s="9" t="s">
        <v>42</v>
      </c>
      <c r="B51" s="9" t="s">
        <v>39</v>
      </c>
      <c r="C51" s="10">
        <v>11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15</v>
      </c>
      <c r="J51" s="9">
        <v>0</v>
      </c>
      <c r="K51" s="9">
        <v>0</v>
      </c>
      <c r="L51" s="9">
        <v>0</v>
      </c>
      <c r="M51" s="9">
        <v>4</v>
      </c>
      <c r="N51" s="9">
        <v>0</v>
      </c>
      <c r="O51" s="9">
        <v>28</v>
      </c>
      <c r="P51" s="9">
        <v>4</v>
      </c>
      <c r="Q51" s="9">
        <v>0</v>
      </c>
      <c r="R51" s="9">
        <v>35</v>
      </c>
      <c r="S51" s="9">
        <v>0</v>
      </c>
      <c r="T51" s="9">
        <v>0</v>
      </c>
      <c r="U51" s="9">
        <v>0</v>
      </c>
      <c r="V51" s="9">
        <v>0</v>
      </c>
      <c r="W51" s="9">
        <v>20</v>
      </c>
      <c r="X51" s="8">
        <f t="shared" si="1"/>
        <v>106</v>
      </c>
      <c r="Z51" s="3">
        <v>0</v>
      </c>
      <c r="AA51" s="9">
        <v>5</v>
      </c>
      <c r="AB51" s="3">
        <v>0</v>
      </c>
      <c r="AC51" s="9">
        <v>0</v>
      </c>
      <c r="AD51" s="9">
        <v>0</v>
      </c>
      <c r="AE51" s="3">
        <v>0</v>
      </c>
      <c r="AF51">
        <v>0</v>
      </c>
      <c r="AG51" s="3">
        <v>0</v>
      </c>
      <c r="AH51">
        <v>0</v>
      </c>
      <c r="AI51">
        <v>0</v>
      </c>
      <c r="AJ51" s="9">
        <v>0</v>
      </c>
      <c r="AK51" s="9">
        <v>0</v>
      </c>
      <c r="AL51">
        <v>0</v>
      </c>
      <c r="AM51" s="9">
        <v>0</v>
      </c>
      <c r="AN51" s="3">
        <v>0</v>
      </c>
      <c r="AO51">
        <v>0</v>
      </c>
      <c r="AP51">
        <v>0</v>
      </c>
      <c r="AQ51" s="3">
        <v>0</v>
      </c>
    </row>
    <row r="52" spans="1:55" ht="17.5" customHeight="1" x14ac:dyDescent="0.3">
      <c r="A52" s="9" t="s">
        <v>42</v>
      </c>
      <c r="B52" s="9" t="s">
        <v>39</v>
      </c>
      <c r="C52" s="10">
        <v>12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4</v>
      </c>
      <c r="J52" s="9">
        <v>0</v>
      </c>
      <c r="K52" s="9">
        <v>0</v>
      </c>
      <c r="L52" s="9">
        <v>0</v>
      </c>
      <c r="M52" s="9">
        <v>1</v>
      </c>
      <c r="N52" s="9">
        <v>0</v>
      </c>
      <c r="O52" s="9">
        <v>10</v>
      </c>
      <c r="P52" s="9">
        <v>0</v>
      </c>
      <c r="Q52" s="9">
        <v>0</v>
      </c>
      <c r="R52" s="9">
        <v>75</v>
      </c>
      <c r="S52" s="9">
        <v>0</v>
      </c>
      <c r="T52" s="9">
        <v>0</v>
      </c>
      <c r="U52" s="9">
        <v>0</v>
      </c>
      <c r="V52" s="9">
        <v>0</v>
      </c>
      <c r="W52" s="9">
        <v>10</v>
      </c>
      <c r="X52" s="8">
        <f t="shared" si="1"/>
        <v>100</v>
      </c>
      <c r="Z52" s="3">
        <v>0</v>
      </c>
      <c r="AA52" s="9">
        <v>3</v>
      </c>
      <c r="AB52" s="3">
        <v>0</v>
      </c>
      <c r="AC52" s="9">
        <v>0</v>
      </c>
      <c r="AD52" s="9">
        <v>0</v>
      </c>
      <c r="AE52" s="3">
        <v>0</v>
      </c>
      <c r="AF52">
        <v>0</v>
      </c>
      <c r="AG52" s="3">
        <v>0</v>
      </c>
      <c r="AH52">
        <v>0</v>
      </c>
      <c r="AI52">
        <v>0</v>
      </c>
      <c r="AJ52" s="9">
        <v>1</v>
      </c>
      <c r="AK52" s="9">
        <v>0</v>
      </c>
      <c r="AL52">
        <v>0</v>
      </c>
      <c r="AM52" s="9">
        <v>0</v>
      </c>
      <c r="AN52" s="3">
        <v>0</v>
      </c>
      <c r="AO52">
        <v>0</v>
      </c>
      <c r="AP52">
        <v>0</v>
      </c>
      <c r="AQ52" s="3">
        <v>0</v>
      </c>
    </row>
    <row r="53" spans="1:55" ht="17.5" customHeight="1" x14ac:dyDescent="0.3">
      <c r="A53" s="9" t="s">
        <v>43</v>
      </c>
      <c r="B53" s="9" t="s">
        <v>39</v>
      </c>
      <c r="C53" s="10">
        <v>13</v>
      </c>
      <c r="D53" s="9">
        <v>1</v>
      </c>
      <c r="E53" s="9">
        <v>5</v>
      </c>
      <c r="F53" s="9">
        <v>0</v>
      </c>
      <c r="G53" s="9">
        <v>0.25</v>
      </c>
      <c r="H53" s="9">
        <v>0</v>
      </c>
      <c r="I53" s="9">
        <v>20</v>
      </c>
      <c r="J53" s="9">
        <v>0</v>
      </c>
      <c r="K53" s="9">
        <v>1</v>
      </c>
      <c r="L53" s="9">
        <v>0</v>
      </c>
      <c r="M53" s="9">
        <v>6</v>
      </c>
      <c r="N53" s="9">
        <v>0</v>
      </c>
      <c r="O53" s="9">
        <v>35</v>
      </c>
      <c r="P53" s="9">
        <v>1</v>
      </c>
      <c r="Q53" s="9">
        <v>1</v>
      </c>
      <c r="R53" s="9">
        <v>30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8">
        <f t="shared" si="1"/>
        <v>100.25</v>
      </c>
      <c r="Z53" s="3">
        <v>0</v>
      </c>
      <c r="AA53" s="9">
        <v>2</v>
      </c>
      <c r="AB53" s="3">
        <v>0</v>
      </c>
      <c r="AC53" s="9">
        <v>0</v>
      </c>
      <c r="AD53" s="9">
        <v>0</v>
      </c>
      <c r="AE53" s="3">
        <v>0</v>
      </c>
      <c r="AF53">
        <v>0</v>
      </c>
      <c r="AG53" s="3">
        <v>0</v>
      </c>
      <c r="AH53">
        <v>0</v>
      </c>
      <c r="AI53">
        <v>0</v>
      </c>
      <c r="AJ53" s="9">
        <v>0</v>
      </c>
      <c r="AK53" s="9">
        <v>0</v>
      </c>
      <c r="AL53">
        <v>0</v>
      </c>
      <c r="AM53" s="9">
        <v>0</v>
      </c>
      <c r="AN53" s="3">
        <v>0</v>
      </c>
      <c r="AO53">
        <v>0</v>
      </c>
      <c r="AP53">
        <v>0</v>
      </c>
      <c r="AQ53" s="3">
        <v>0</v>
      </c>
    </row>
    <row r="54" spans="1:55" ht="17.5" customHeight="1" x14ac:dyDescent="0.3">
      <c r="A54" s="9" t="s">
        <v>43</v>
      </c>
      <c r="B54" s="9" t="s">
        <v>39</v>
      </c>
      <c r="C54" s="10">
        <v>14</v>
      </c>
      <c r="D54" s="9">
        <v>0.5</v>
      </c>
      <c r="E54" s="9">
        <v>0</v>
      </c>
      <c r="F54" s="9">
        <v>0</v>
      </c>
      <c r="G54" s="9">
        <v>0</v>
      </c>
      <c r="H54" s="9">
        <v>0</v>
      </c>
      <c r="I54" s="9">
        <v>35</v>
      </c>
      <c r="J54" s="9">
        <v>0</v>
      </c>
      <c r="K54" s="9">
        <v>1</v>
      </c>
      <c r="L54" s="9">
        <v>0</v>
      </c>
      <c r="M54" s="9">
        <v>0</v>
      </c>
      <c r="N54" s="9">
        <v>0</v>
      </c>
      <c r="O54" s="9">
        <v>20</v>
      </c>
      <c r="P54" s="9">
        <v>4</v>
      </c>
      <c r="Q54" s="9">
        <v>0</v>
      </c>
      <c r="R54" s="9">
        <v>40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8">
        <f t="shared" si="1"/>
        <v>100.5</v>
      </c>
      <c r="Z54" s="3">
        <v>0</v>
      </c>
      <c r="AA54" s="9">
        <v>1</v>
      </c>
      <c r="AB54" s="3">
        <v>0</v>
      </c>
      <c r="AC54" s="9">
        <v>0</v>
      </c>
      <c r="AD54" s="9">
        <v>0</v>
      </c>
      <c r="AE54" s="3">
        <v>0</v>
      </c>
      <c r="AF54">
        <v>0</v>
      </c>
      <c r="AG54" s="3">
        <v>0</v>
      </c>
      <c r="AH54">
        <v>0</v>
      </c>
      <c r="AI54">
        <v>0</v>
      </c>
      <c r="AJ54" s="9">
        <v>1</v>
      </c>
      <c r="AK54" s="9">
        <v>0</v>
      </c>
      <c r="AL54">
        <v>0</v>
      </c>
      <c r="AM54" s="9">
        <v>0</v>
      </c>
      <c r="AN54" s="3">
        <v>0</v>
      </c>
      <c r="AO54">
        <v>0</v>
      </c>
      <c r="AP54">
        <v>0</v>
      </c>
      <c r="AQ54" s="3">
        <v>0</v>
      </c>
    </row>
    <row r="55" spans="1:55" ht="17.5" customHeight="1" x14ac:dyDescent="0.3">
      <c r="A55" s="9" t="s">
        <v>43</v>
      </c>
      <c r="B55" s="9" t="s">
        <v>39</v>
      </c>
      <c r="C55" s="10">
        <v>15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20</v>
      </c>
      <c r="J55" s="9">
        <v>0</v>
      </c>
      <c r="K55" s="9">
        <v>0</v>
      </c>
      <c r="L55" s="9">
        <v>0</v>
      </c>
      <c r="M55" s="9">
        <v>0.5</v>
      </c>
      <c r="N55" s="9">
        <v>0</v>
      </c>
      <c r="O55" s="9">
        <v>25</v>
      </c>
      <c r="P55" s="9">
        <v>4</v>
      </c>
      <c r="Q55" s="9">
        <v>4</v>
      </c>
      <c r="R55" s="9">
        <v>45</v>
      </c>
      <c r="S55" s="9">
        <v>0</v>
      </c>
      <c r="T55" s="9">
        <v>0</v>
      </c>
      <c r="U55" s="9">
        <v>0</v>
      </c>
      <c r="V55" s="9">
        <v>0</v>
      </c>
      <c r="W55" s="9">
        <v>4</v>
      </c>
      <c r="X55" s="8">
        <f t="shared" si="1"/>
        <v>102.5</v>
      </c>
      <c r="Z55" s="3">
        <v>0</v>
      </c>
      <c r="AA55" s="9">
        <v>1</v>
      </c>
      <c r="AB55" s="3">
        <v>0</v>
      </c>
      <c r="AC55" s="9">
        <v>4</v>
      </c>
      <c r="AD55" s="9">
        <v>0</v>
      </c>
      <c r="AE55" s="3">
        <v>0</v>
      </c>
      <c r="AF55">
        <v>0</v>
      </c>
      <c r="AG55" s="3">
        <v>0</v>
      </c>
      <c r="AH55">
        <v>1</v>
      </c>
      <c r="AI55">
        <v>0</v>
      </c>
      <c r="AJ55" s="9">
        <v>1</v>
      </c>
      <c r="AK55" s="9">
        <v>0</v>
      </c>
      <c r="AL55">
        <v>0</v>
      </c>
      <c r="AM55" s="9">
        <v>0</v>
      </c>
      <c r="AN55" s="3">
        <v>0</v>
      </c>
      <c r="AO55">
        <v>0</v>
      </c>
      <c r="AP55">
        <v>0</v>
      </c>
      <c r="AQ55" s="3">
        <v>0</v>
      </c>
    </row>
    <row r="56" spans="1:55" ht="17.5" customHeight="1" x14ac:dyDescent="0.3">
      <c r="A56" s="9" t="s">
        <v>44</v>
      </c>
      <c r="B56" s="9" t="s">
        <v>39</v>
      </c>
      <c r="C56" s="10">
        <v>16</v>
      </c>
      <c r="D56" s="9">
        <v>0</v>
      </c>
      <c r="E56" s="9">
        <v>2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3</v>
      </c>
      <c r="N56" s="9">
        <v>0</v>
      </c>
      <c r="O56" s="9">
        <v>15</v>
      </c>
      <c r="P56" s="9">
        <v>5</v>
      </c>
      <c r="Q56" s="9">
        <v>0</v>
      </c>
      <c r="R56" s="9">
        <v>100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8">
        <f t="shared" si="1"/>
        <v>125</v>
      </c>
      <c r="Z56" s="3">
        <v>0</v>
      </c>
      <c r="AA56" s="9">
        <v>1</v>
      </c>
      <c r="AB56" s="3">
        <v>0</v>
      </c>
      <c r="AC56" s="9">
        <v>0</v>
      </c>
      <c r="AD56" s="9">
        <v>0</v>
      </c>
      <c r="AE56" s="3">
        <v>0</v>
      </c>
      <c r="AF56">
        <v>0</v>
      </c>
      <c r="AG56" s="3">
        <v>0</v>
      </c>
      <c r="AH56">
        <v>0</v>
      </c>
      <c r="AI56">
        <v>0</v>
      </c>
      <c r="AJ56" s="9">
        <v>3</v>
      </c>
      <c r="AK56" s="9">
        <v>0</v>
      </c>
      <c r="AL56">
        <v>0</v>
      </c>
      <c r="AM56" s="9">
        <v>0</v>
      </c>
      <c r="AN56" s="3">
        <v>0</v>
      </c>
      <c r="AO56">
        <v>0</v>
      </c>
      <c r="AP56">
        <v>0</v>
      </c>
      <c r="AQ56" s="3">
        <v>0</v>
      </c>
    </row>
    <row r="57" spans="1:55" ht="17.5" customHeight="1" x14ac:dyDescent="0.3">
      <c r="A57" s="9" t="s">
        <v>44</v>
      </c>
      <c r="B57" s="9" t="s">
        <v>39</v>
      </c>
      <c r="C57" s="10">
        <v>17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4</v>
      </c>
      <c r="N57" s="9">
        <v>0</v>
      </c>
      <c r="O57" s="9">
        <v>16</v>
      </c>
      <c r="P57" s="9">
        <v>1</v>
      </c>
      <c r="Q57" s="9">
        <v>0</v>
      </c>
      <c r="R57" s="9">
        <v>100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8">
        <f t="shared" si="1"/>
        <v>121</v>
      </c>
      <c r="Z57" s="3">
        <v>0</v>
      </c>
      <c r="AA57" s="9">
        <v>1</v>
      </c>
      <c r="AB57" s="3">
        <v>0</v>
      </c>
      <c r="AC57" s="9">
        <v>0</v>
      </c>
      <c r="AD57" s="9">
        <v>0</v>
      </c>
      <c r="AE57" s="3">
        <v>0</v>
      </c>
      <c r="AF57">
        <v>0</v>
      </c>
      <c r="AG57" s="9">
        <v>0</v>
      </c>
      <c r="AH57">
        <v>0</v>
      </c>
      <c r="AI57">
        <v>0</v>
      </c>
      <c r="AJ57" s="9">
        <v>3</v>
      </c>
      <c r="AK57" s="9">
        <v>0</v>
      </c>
      <c r="AL57">
        <v>0</v>
      </c>
      <c r="AM57" s="9">
        <v>0</v>
      </c>
      <c r="AN57" s="9">
        <v>0</v>
      </c>
      <c r="AO57">
        <v>0</v>
      </c>
      <c r="AP57">
        <v>0</v>
      </c>
      <c r="AQ57" s="3">
        <v>0</v>
      </c>
    </row>
    <row r="58" spans="1:55" ht="17.5" customHeight="1" x14ac:dyDescent="0.3">
      <c r="A58" s="9" t="s">
        <v>44</v>
      </c>
      <c r="B58" s="9" t="s">
        <v>39</v>
      </c>
      <c r="C58" s="10">
        <v>18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2</v>
      </c>
      <c r="N58" s="9">
        <v>7</v>
      </c>
      <c r="O58" s="9">
        <v>25</v>
      </c>
      <c r="P58" s="9">
        <v>1</v>
      </c>
      <c r="Q58" s="9">
        <v>0</v>
      </c>
      <c r="R58" s="9">
        <v>100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8">
        <f t="shared" si="1"/>
        <v>135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>
        <v>0</v>
      </c>
      <c r="AJ58" s="3">
        <v>0</v>
      </c>
      <c r="AK58" s="3">
        <v>0</v>
      </c>
      <c r="AL58">
        <v>0</v>
      </c>
      <c r="AM58" s="3">
        <v>0</v>
      </c>
      <c r="AN58" s="3">
        <v>0</v>
      </c>
      <c r="AO58">
        <v>0</v>
      </c>
      <c r="AP58">
        <v>0</v>
      </c>
      <c r="AQ58" s="3">
        <v>0</v>
      </c>
    </row>
    <row r="59" spans="1:55" ht="17.5" customHeight="1" x14ac:dyDescent="0.3">
      <c r="A59" s="9" t="s">
        <v>45</v>
      </c>
      <c r="B59" s="9" t="s">
        <v>39</v>
      </c>
      <c r="C59" s="10">
        <v>19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1</v>
      </c>
      <c r="N59" s="9">
        <v>0</v>
      </c>
      <c r="O59" s="9">
        <v>15</v>
      </c>
      <c r="P59" s="9">
        <v>1</v>
      </c>
      <c r="Q59" s="9">
        <v>0</v>
      </c>
      <c r="R59" s="9">
        <v>100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8">
        <f t="shared" si="1"/>
        <v>117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3">
        <v>0</v>
      </c>
      <c r="AF59" s="9">
        <v>0</v>
      </c>
      <c r="AG59" s="9">
        <v>0</v>
      </c>
      <c r="AH59" s="9">
        <v>0</v>
      </c>
      <c r="AI59">
        <v>0</v>
      </c>
      <c r="AJ59" s="9">
        <v>0</v>
      </c>
      <c r="AK59" s="9">
        <v>0</v>
      </c>
      <c r="AL59">
        <v>0</v>
      </c>
      <c r="AM59" s="9">
        <v>0</v>
      </c>
      <c r="AN59" s="9">
        <v>0</v>
      </c>
      <c r="AO59">
        <v>0</v>
      </c>
      <c r="AP59">
        <v>0</v>
      </c>
      <c r="AQ59" s="9">
        <v>0</v>
      </c>
    </row>
    <row r="60" spans="1:55" ht="17.5" customHeight="1" x14ac:dyDescent="0.3">
      <c r="A60" s="9" t="s">
        <v>45</v>
      </c>
      <c r="B60" s="9" t="s">
        <v>39</v>
      </c>
      <c r="C60" s="10">
        <v>20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1</v>
      </c>
      <c r="N60" s="9">
        <v>0</v>
      </c>
      <c r="O60" s="9">
        <v>32</v>
      </c>
      <c r="P60" s="9">
        <v>1</v>
      </c>
      <c r="Q60" s="9">
        <v>0</v>
      </c>
      <c r="R60" s="9">
        <v>100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8">
        <f t="shared" si="1"/>
        <v>134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3">
        <v>0</v>
      </c>
      <c r="AF60" s="9">
        <v>0</v>
      </c>
      <c r="AG60" s="9">
        <v>0</v>
      </c>
      <c r="AH60" s="9">
        <v>0</v>
      </c>
      <c r="AI60">
        <v>0</v>
      </c>
      <c r="AJ60" s="9">
        <v>2</v>
      </c>
      <c r="AK60" s="9">
        <v>0</v>
      </c>
      <c r="AL60">
        <v>0</v>
      </c>
      <c r="AM60" s="9">
        <v>0</v>
      </c>
      <c r="AN60" s="9">
        <v>0</v>
      </c>
      <c r="AO60">
        <v>0</v>
      </c>
      <c r="AP60">
        <v>0</v>
      </c>
      <c r="AQ60" s="9">
        <v>0</v>
      </c>
    </row>
    <row r="61" spans="1:55" ht="17.5" customHeight="1" x14ac:dyDescent="0.3">
      <c r="A61" s="9" t="s">
        <v>45</v>
      </c>
      <c r="B61" s="9" t="s">
        <v>39</v>
      </c>
      <c r="C61" s="10">
        <v>21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2</v>
      </c>
      <c r="P61" s="9">
        <v>0</v>
      </c>
      <c r="Q61" s="9">
        <v>0</v>
      </c>
      <c r="R61" s="9">
        <v>15</v>
      </c>
      <c r="S61" s="9">
        <v>0</v>
      </c>
      <c r="T61" s="9">
        <v>0</v>
      </c>
      <c r="U61" s="9">
        <v>0</v>
      </c>
      <c r="V61" s="9">
        <v>0</v>
      </c>
      <c r="W61" s="9">
        <v>83</v>
      </c>
      <c r="X61" s="8">
        <f t="shared" si="1"/>
        <v>100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3">
        <v>0</v>
      </c>
      <c r="AF61" s="9">
        <v>0</v>
      </c>
      <c r="AG61" s="9">
        <v>0</v>
      </c>
      <c r="AH61" s="9">
        <v>0</v>
      </c>
      <c r="AI61">
        <v>0</v>
      </c>
      <c r="AJ61" s="9">
        <v>0</v>
      </c>
      <c r="AK61" s="9">
        <v>0</v>
      </c>
      <c r="AL61">
        <v>0</v>
      </c>
      <c r="AM61" s="9">
        <v>0</v>
      </c>
      <c r="AN61" s="9">
        <v>0</v>
      </c>
      <c r="AO61">
        <v>0</v>
      </c>
      <c r="AP61">
        <v>0</v>
      </c>
      <c r="AQ61" s="9">
        <v>0</v>
      </c>
    </row>
    <row r="62" spans="1:55" ht="17.5" customHeight="1" x14ac:dyDescent="0.3">
      <c r="A62" s="9" t="s">
        <v>46</v>
      </c>
      <c r="B62" s="9" t="s">
        <v>39</v>
      </c>
      <c r="C62" s="10">
        <v>22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5</v>
      </c>
      <c r="N62" s="9">
        <v>0</v>
      </c>
      <c r="O62" s="9">
        <v>26</v>
      </c>
      <c r="P62" s="9">
        <v>1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70</v>
      </c>
      <c r="X62" s="8">
        <f t="shared" si="1"/>
        <v>102</v>
      </c>
      <c r="Y62" s="19"/>
      <c r="Z62" s="10">
        <v>0</v>
      </c>
      <c r="AA62" s="10">
        <v>8</v>
      </c>
      <c r="AB62" s="10">
        <v>0</v>
      </c>
      <c r="AC62" s="10">
        <v>0</v>
      </c>
      <c r="AD62" s="10">
        <v>0</v>
      </c>
      <c r="AE62">
        <v>0</v>
      </c>
      <c r="AF62" s="10">
        <v>0</v>
      </c>
      <c r="AG62" s="10">
        <v>0</v>
      </c>
      <c r="AH62" s="10">
        <v>0</v>
      </c>
      <c r="AI62">
        <v>0</v>
      </c>
      <c r="AJ62" s="10">
        <v>1</v>
      </c>
      <c r="AK62" s="10">
        <v>0</v>
      </c>
      <c r="AL62">
        <v>0</v>
      </c>
      <c r="AM62" s="10">
        <v>0</v>
      </c>
      <c r="AN62" s="10">
        <v>0</v>
      </c>
      <c r="AO62">
        <v>0</v>
      </c>
      <c r="AP62">
        <v>0</v>
      </c>
      <c r="AQ62" s="10">
        <v>0</v>
      </c>
      <c r="AT62" s="20"/>
      <c r="AU62" s="20"/>
      <c r="AV62" s="20"/>
      <c r="AW62" s="20"/>
      <c r="AX62" s="20"/>
      <c r="AY62" s="18"/>
      <c r="AZ62" s="18"/>
      <c r="BA62" s="18"/>
      <c r="BB62" s="18"/>
      <c r="BC62" s="18"/>
    </row>
    <row r="63" spans="1:55" ht="17.5" customHeight="1" x14ac:dyDescent="0.3">
      <c r="A63" s="9" t="s">
        <v>47</v>
      </c>
      <c r="B63" s="9" t="s">
        <v>39</v>
      </c>
      <c r="C63" s="10">
        <v>23</v>
      </c>
      <c r="D63" s="9">
        <v>1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16</v>
      </c>
      <c r="L63" s="9">
        <v>0</v>
      </c>
      <c r="M63" s="9">
        <v>6</v>
      </c>
      <c r="N63" s="9">
        <v>0</v>
      </c>
      <c r="O63" s="9">
        <v>33</v>
      </c>
      <c r="P63" s="9">
        <v>0</v>
      </c>
      <c r="Q63" s="9">
        <v>0</v>
      </c>
      <c r="R63" s="9">
        <v>3</v>
      </c>
      <c r="S63" s="9">
        <v>0</v>
      </c>
      <c r="T63" s="9">
        <v>0</v>
      </c>
      <c r="U63" s="9">
        <v>0</v>
      </c>
      <c r="V63" s="9">
        <v>0</v>
      </c>
      <c r="W63" s="9">
        <v>70</v>
      </c>
      <c r="X63" s="8">
        <f t="shared" ref="X63:X92" si="2">SUM(D63:W63)</f>
        <v>129</v>
      </c>
      <c r="Y63" s="19"/>
      <c r="Z63" s="10">
        <v>0</v>
      </c>
      <c r="AA63" s="10">
        <v>1</v>
      </c>
      <c r="AB63" s="10">
        <v>0</v>
      </c>
      <c r="AC63" s="10">
        <v>0</v>
      </c>
      <c r="AD63" s="10">
        <v>0</v>
      </c>
      <c r="AE63">
        <v>0</v>
      </c>
      <c r="AF63" s="10">
        <v>0</v>
      </c>
      <c r="AG63" s="10">
        <v>0</v>
      </c>
      <c r="AH63" s="10">
        <v>0</v>
      </c>
      <c r="AI63">
        <v>0</v>
      </c>
      <c r="AJ63" s="10">
        <v>1</v>
      </c>
      <c r="AK63" s="10">
        <v>0</v>
      </c>
      <c r="AL63">
        <v>0</v>
      </c>
      <c r="AM63" s="10">
        <v>0</v>
      </c>
      <c r="AN63" s="10">
        <v>0</v>
      </c>
      <c r="AO63">
        <v>0</v>
      </c>
      <c r="AP63">
        <v>0</v>
      </c>
      <c r="AQ63" s="10">
        <v>0</v>
      </c>
      <c r="AT63" s="20"/>
      <c r="AU63" s="20"/>
      <c r="AV63" s="20"/>
      <c r="AW63" s="20"/>
      <c r="AX63" s="20"/>
      <c r="AY63" s="18"/>
      <c r="AZ63" s="18"/>
      <c r="BA63" s="18"/>
      <c r="BB63" s="18"/>
      <c r="BC63" s="18"/>
    </row>
    <row r="64" spans="1:55" ht="17.5" customHeight="1" x14ac:dyDescent="0.3">
      <c r="A64" s="4" t="s">
        <v>47</v>
      </c>
      <c r="B64" s="9" t="s">
        <v>39</v>
      </c>
      <c r="C64" s="10">
        <v>24</v>
      </c>
      <c r="D64" s="9">
        <v>1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7</v>
      </c>
      <c r="N64" s="9">
        <v>0</v>
      </c>
      <c r="O64" s="9">
        <v>58</v>
      </c>
      <c r="P64" s="9">
        <v>0</v>
      </c>
      <c r="Q64" s="9">
        <v>0</v>
      </c>
      <c r="R64" s="9">
        <v>2</v>
      </c>
      <c r="S64" s="9">
        <v>0</v>
      </c>
      <c r="T64" s="9">
        <v>0</v>
      </c>
      <c r="U64" s="9">
        <v>0</v>
      </c>
      <c r="V64" s="9">
        <v>0</v>
      </c>
      <c r="W64" s="9">
        <v>33</v>
      </c>
      <c r="X64" s="8">
        <f t="shared" si="2"/>
        <v>101</v>
      </c>
      <c r="Y64" s="19"/>
      <c r="Z64" s="10">
        <v>0</v>
      </c>
      <c r="AA64" s="10">
        <v>5</v>
      </c>
      <c r="AB64" s="10">
        <v>0</v>
      </c>
      <c r="AC64" s="10">
        <v>0</v>
      </c>
      <c r="AD64" s="10">
        <v>0</v>
      </c>
      <c r="AE64">
        <v>0</v>
      </c>
      <c r="AF64" s="10">
        <v>0</v>
      </c>
      <c r="AG64" s="10">
        <v>0</v>
      </c>
      <c r="AH64" s="10">
        <v>0</v>
      </c>
      <c r="AI64">
        <v>0</v>
      </c>
      <c r="AJ64" s="10">
        <v>1</v>
      </c>
      <c r="AK64" s="10">
        <v>0</v>
      </c>
      <c r="AL64">
        <v>0</v>
      </c>
      <c r="AM64" s="10">
        <v>0</v>
      </c>
      <c r="AN64" s="10">
        <v>0</v>
      </c>
      <c r="AO64">
        <v>0</v>
      </c>
      <c r="AP64">
        <v>0</v>
      </c>
      <c r="AQ64" s="10">
        <v>0</v>
      </c>
      <c r="AT64" s="20"/>
      <c r="AU64" s="20"/>
      <c r="AV64" s="20"/>
      <c r="AW64" s="20"/>
      <c r="AX64" s="20"/>
      <c r="AY64" s="18"/>
      <c r="AZ64" s="18"/>
      <c r="BA64" s="18"/>
      <c r="BB64" s="18"/>
      <c r="BC64" s="18"/>
    </row>
    <row r="65" spans="1:55" ht="17.5" customHeight="1" x14ac:dyDescent="0.3">
      <c r="A65" s="4" t="s">
        <v>48</v>
      </c>
      <c r="B65" s="9" t="s">
        <v>39</v>
      </c>
      <c r="C65" s="10">
        <v>25</v>
      </c>
      <c r="D65" s="9">
        <v>6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2</v>
      </c>
      <c r="K65" s="9">
        <v>0</v>
      </c>
      <c r="L65" s="9">
        <v>0</v>
      </c>
      <c r="M65" s="9">
        <v>35</v>
      </c>
      <c r="N65" s="9">
        <v>0</v>
      </c>
      <c r="O65" s="9">
        <v>50</v>
      </c>
      <c r="P65" s="9">
        <v>0</v>
      </c>
      <c r="Q65" s="9">
        <v>0</v>
      </c>
      <c r="R65" s="9">
        <v>37</v>
      </c>
      <c r="S65" s="9">
        <v>0</v>
      </c>
      <c r="T65" s="9">
        <v>0</v>
      </c>
      <c r="U65" s="9">
        <v>0</v>
      </c>
      <c r="V65" s="9">
        <v>0</v>
      </c>
      <c r="W65" s="9">
        <v>8</v>
      </c>
      <c r="X65" s="8">
        <f t="shared" si="2"/>
        <v>138</v>
      </c>
      <c r="Y65" s="19"/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>
        <v>0</v>
      </c>
      <c r="AF65" s="10">
        <v>0</v>
      </c>
      <c r="AG65" s="10">
        <v>0</v>
      </c>
      <c r="AH65" s="10">
        <v>0</v>
      </c>
      <c r="AI65">
        <v>0</v>
      </c>
      <c r="AJ65" s="10">
        <v>1</v>
      </c>
      <c r="AK65" s="10">
        <v>0</v>
      </c>
      <c r="AL65">
        <v>0</v>
      </c>
      <c r="AM65" s="10">
        <v>0</v>
      </c>
      <c r="AN65" s="10">
        <v>0</v>
      </c>
      <c r="AO65">
        <v>0</v>
      </c>
      <c r="AP65">
        <v>0</v>
      </c>
      <c r="AQ65" s="10">
        <v>0</v>
      </c>
      <c r="AT65" s="20"/>
      <c r="AU65" s="20"/>
      <c r="AV65" s="20"/>
      <c r="AW65" s="20"/>
      <c r="AX65" s="20"/>
      <c r="AY65" s="18"/>
      <c r="AZ65" s="18"/>
      <c r="BA65" s="18"/>
      <c r="BB65" s="18"/>
      <c r="BC65" s="18"/>
    </row>
    <row r="66" spans="1:55" ht="17.5" customHeight="1" x14ac:dyDescent="0.3">
      <c r="A66" s="4" t="s">
        <v>48</v>
      </c>
      <c r="B66" s="9" t="s">
        <v>39</v>
      </c>
      <c r="C66" s="10">
        <v>26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2</v>
      </c>
      <c r="J66" s="9">
        <v>9</v>
      </c>
      <c r="K66" s="9">
        <v>0</v>
      </c>
      <c r="L66" s="9">
        <v>0</v>
      </c>
      <c r="M66" s="9">
        <v>28</v>
      </c>
      <c r="N66" s="9">
        <v>0</v>
      </c>
      <c r="O66" s="9">
        <v>69</v>
      </c>
      <c r="P66" s="9">
        <v>2</v>
      </c>
      <c r="Q66" s="9">
        <v>0</v>
      </c>
      <c r="R66" s="9">
        <v>10</v>
      </c>
      <c r="S66" s="9">
        <v>0</v>
      </c>
      <c r="T66" s="9">
        <v>0</v>
      </c>
      <c r="U66" s="9">
        <v>0</v>
      </c>
      <c r="V66" s="9">
        <v>0</v>
      </c>
      <c r="W66" s="9">
        <v>12</v>
      </c>
      <c r="X66" s="8">
        <f t="shared" si="2"/>
        <v>132</v>
      </c>
      <c r="Y66" s="19"/>
      <c r="Z66" s="10">
        <v>0</v>
      </c>
      <c r="AA66" s="10">
        <v>4</v>
      </c>
      <c r="AB66" s="10">
        <v>0</v>
      </c>
      <c r="AC66" s="10">
        <v>0</v>
      </c>
      <c r="AD66" s="10">
        <v>0</v>
      </c>
      <c r="AE66">
        <v>0</v>
      </c>
      <c r="AF66" s="10">
        <v>0</v>
      </c>
      <c r="AG66" s="10">
        <v>0</v>
      </c>
      <c r="AH66" s="10">
        <v>0</v>
      </c>
      <c r="AI66">
        <v>0</v>
      </c>
      <c r="AJ66" s="10">
        <v>0</v>
      </c>
      <c r="AK66" s="10">
        <v>0</v>
      </c>
      <c r="AL66">
        <v>0</v>
      </c>
      <c r="AM66" s="10">
        <v>0</v>
      </c>
      <c r="AN66" s="10">
        <v>0</v>
      </c>
      <c r="AO66">
        <v>0</v>
      </c>
      <c r="AP66">
        <v>0</v>
      </c>
      <c r="AQ66" s="10">
        <v>0</v>
      </c>
      <c r="AT66" s="20"/>
      <c r="AU66" s="20"/>
      <c r="AV66" s="20"/>
      <c r="AW66" s="20"/>
      <c r="AX66" s="20"/>
      <c r="AY66" s="18"/>
      <c r="AZ66" s="18"/>
      <c r="BA66" s="18"/>
      <c r="BB66" s="18"/>
      <c r="BC66" s="18"/>
    </row>
    <row r="67" spans="1:55" ht="17.5" customHeight="1" x14ac:dyDescent="0.3">
      <c r="A67" s="4" t="s">
        <v>48</v>
      </c>
      <c r="B67" s="9" t="s">
        <v>39</v>
      </c>
      <c r="C67" s="10">
        <v>27</v>
      </c>
      <c r="D67" s="9">
        <v>1</v>
      </c>
      <c r="E67" s="9">
        <v>0</v>
      </c>
      <c r="F67" s="9">
        <v>0</v>
      </c>
      <c r="G67" s="9">
        <v>0</v>
      </c>
      <c r="H67" s="9">
        <v>0</v>
      </c>
      <c r="I67" s="9">
        <v>5</v>
      </c>
      <c r="J67" s="9">
        <v>10</v>
      </c>
      <c r="K67" s="9">
        <v>0</v>
      </c>
      <c r="L67" s="9">
        <v>0</v>
      </c>
      <c r="M67" s="9">
        <v>32</v>
      </c>
      <c r="N67" s="9">
        <v>0</v>
      </c>
      <c r="O67" s="9">
        <v>32</v>
      </c>
      <c r="P67" s="9">
        <v>4</v>
      </c>
      <c r="Q67" s="9">
        <v>0</v>
      </c>
      <c r="R67" s="9">
        <v>11</v>
      </c>
      <c r="S67" s="9">
        <v>8</v>
      </c>
      <c r="T67" s="9">
        <v>0</v>
      </c>
      <c r="U67" s="9">
        <v>0</v>
      </c>
      <c r="V67" s="9">
        <v>0</v>
      </c>
      <c r="W67" s="9">
        <v>9</v>
      </c>
      <c r="X67" s="8">
        <f t="shared" si="2"/>
        <v>112</v>
      </c>
      <c r="Y67" s="19"/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>
        <v>0</v>
      </c>
      <c r="AF67" s="10">
        <v>0</v>
      </c>
      <c r="AG67" s="10">
        <v>0</v>
      </c>
      <c r="AH67" s="10">
        <v>0</v>
      </c>
      <c r="AI67">
        <v>0</v>
      </c>
      <c r="AJ67" s="10">
        <v>1</v>
      </c>
      <c r="AK67" s="10">
        <v>0</v>
      </c>
      <c r="AL67">
        <v>0</v>
      </c>
      <c r="AM67" s="10">
        <v>0</v>
      </c>
      <c r="AN67" s="10">
        <v>0</v>
      </c>
      <c r="AO67">
        <v>0</v>
      </c>
      <c r="AP67">
        <v>0</v>
      </c>
      <c r="AQ67" s="10">
        <v>0</v>
      </c>
      <c r="AT67" s="20"/>
      <c r="AU67" s="20"/>
      <c r="AV67" s="20"/>
      <c r="AW67" s="20"/>
      <c r="AX67" s="20"/>
      <c r="AY67" s="18"/>
      <c r="AZ67" s="18"/>
      <c r="BA67" s="18"/>
      <c r="BB67" s="18"/>
      <c r="BC67" s="18"/>
    </row>
    <row r="68" spans="1:55" ht="17.5" customHeight="1" x14ac:dyDescent="0.3">
      <c r="A68" s="9" t="s">
        <v>49</v>
      </c>
      <c r="B68" s="9" t="s">
        <v>39</v>
      </c>
      <c r="C68" s="10">
        <v>28</v>
      </c>
      <c r="D68" s="9">
        <v>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10</v>
      </c>
      <c r="M68" s="9">
        <v>0</v>
      </c>
      <c r="N68" s="9">
        <v>0</v>
      </c>
      <c r="O68" s="9">
        <v>50</v>
      </c>
      <c r="P68" s="9">
        <v>3</v>
      </c>
      <c r="Q68" s="9">
        <v>0</v>
      </c>
      <c r="R68" s="9">
        <v>10</v>
      </c>
      <c r="S68" s="9">
        <v>0</v>
      </c>
      <c r="T68" s="9">
        <v>0</v>
      </c>
      <c r="U68" s="9">
        <v>0</v>
      </c>
      <c r="V68" s="9">
        <v>0</v>
      </c>
      <c r="W68" s="9">
        <v>35</v>
      </c>
      <c r="X68" s="8">
        <f t="shared" si="2"/>
        <v>110</v>
      </c>
      <c r="Z68" s="3">
        <v>0</v>
      </c>
      <c r="AA68" s="9">
        <v>0</v>
      </c>
      <c r="AB68" s="3">
        <v>0</v>
      </c>
      <c r="AC68" s="9">
        <v>0</v>
      </c>
      <c r="AD68" s="9">
        <v>0</v>
      </c>
      <c r="AE68" s="3">
        <v>7</v>
      </c>
      <c r="AF68">
        <v>0</v>
      </c>
      <c r="AG68" s="3">
        <v>0</v>
      </c>
      <c r="AH68">
        <v>0</v>
      </c>
      <c r="AI68">
        <v>0</v>
      </c>
      <c r="AJ68" s="9">
        <v>0</v>
      </c>
      <c r="AK68" s="9">
        <v>0</v>
      </c>
      <c r="AL68">
        <v>0</v>
      </c>
      <c r="AM68" s="3">
        <v>0</v>
      </c>
      <c r="AN68" s="3">
        <v>0</v>
      </c>
      <c r="AO68">
        <v>0</v>
      </c>
      <c r="AP68">
        <v>0</v>
      </c>
      <c r="AQ68" s="3">
        <v>0</v>
      </c>
    </row>
    <row r="69" spans="1:55" ht="17.5" customHeight="1" x14ac:dyDescent="0.3">
      <c r="A69" s="9" t="s">
        <v>49</v>
      </c>
      <c r="B69" s="9" t="s">
        <v>39</v>
      </c>
      <c r="C69" s="10">
        <v>29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10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40</v>
      </c>
      <c r="P69" s="9">
        <v>2</v>
      </c>
      <c r="Q69" s="9">
        <v>0</v>
      </c>
      <c r="R69" s="9">
        <v>10</v>
      </c>
      <c r="S69" s="9">
        <v>0</v>
      </c>
      <c r="T69" s="9">
        <v>0</v>
      </c>
      <c r="U69" s="9">
        <v>0</v>
      </c>
      <c r="V69" s="9">
        <v>0</v>
      </c>
      <c r="W69" s="9">
        <v>40</v>
      </c>
      <c r="X69" s="8">
        <f t="shared" si="2"/>
        <v>102</v>
      </c>
      <c r="Z69" s="3">
        <v>0</v>
      </c>
      <c r="AA69" s="9">
        <v>0</v>
      </c>
      <c r="AB69" s="3">
        <v>0</v>
      </c>
      <c r="AC69" s="9">
        <v>0</v>
      </c>
      <c r="AD69" s="9">
        <v>0</v>
      </c>
      <c r="AE69" s="3">
        <v>4</v>
      </c>
      <c r="AF69">
        <v>0</v>
      </c>
      <c r="AG69" s="3">
        <v>0</v>
      </c>
      <c r="AH69">
        <v>0</v>
      </c>
      <c r="AI69">
        <v>0</v>
      </c>
      <c r="AJ69" s="9">
        <v>0</v>
      </c>
      <c r="AK69" s="9">
        <v>0</v>
      </c>
      <c r="AL69">
        <v>0</v>
      </c>
      <c r="AM69" s="3">
        <v>0</v>
      </c>
      <c r="AN69" s="3">
        <v>0</v>
      </c>
      <c r="AO69">
        <v>0</v>
      </c>
      <c r="AP69">
        <v>0</v>
      </c>
      <c r="AQ69" s="3">
        <v>0</v>
      </c>
    </row>
    <row r="70" spans="1:55" ht="17.5" customHeight="1" x14ac:dyDescent="0.3">
      <c r="A70" s="9" t="s">
        <v>49</v>
      </c>
      <c r="B70" s="9" t="s">
        <v>39</v>
      </c>
      <c r="C70" s="10">
        <v>30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10</v>
      </c>
      <c r="K70" s="9">
        <v>0</v>
      </c>
      <c r="L70" s="9">
        <v>10</v>
      </c>
      <c r="M70" s="9">
        <v>0</v>
      </c>
      <c r="N70" s="9">
        <v>0</v>
      </c>
      <c r="O70" s="9">
        <v>40</v>
      </c>
      <c r="P70" s="9">
        <v>2</v>
      </c>
      <c r="Q70" s="9">
        <v>0</v>
      </c>
      <c r="R70" s="9">
        <v>10</v>
      </c>
      <c r="S70" s="9">
        <v>0</v>
      </c>
      <c r="T70" s="9">
        <v>0</v>
      </c>
      <c r="U70" s="9">
        <v>0</v>
      </c>
      <c r="V70" s="9">
        <v>0</v>
      </c>
      <c r="W70" s="9">
        <v>40</v>
      </c>
      <c r="X70" s="8">
        <f t="shared" si="2"/>
        <v>112</v>
      </c>
      <c r="Z70" s="3">
        <v>0</v>
      </c>
      <c r="AA70" s="9">
        <v>3</v>
      </c>
      <c r="AB70" s="3">
        <v>0</v>
      </c>
      <c r="AC70" s="9">
        <v>0</v>
      </c>
      <c r="AD70" s="9">
        <v>0</v>
      </c>
      <c r="AE70" s="3">
        <v>0</v>
      </c>
      <c r="AF70">
        <v>0</v>
      </c>
      <c r="AG70" s="3">
        <v>0</v>
      </c>
      <c r="AH70">
        <v>0</v>
      </c>
      <c r="AI70">
        <v>0</v>
      </c>
      <c r="AJ70" s="9">
        <v>0</v>
      </c>
      <c r="AK70" s="9">
        <v>0</v>
      </c>
      <c r="AL70">
        <v>0</v>
      </c>
      <c r="AM70" s="3">
        <v>0</v>
      </c>
      <c r="AN70" s="3">
        <v>0</v>
      </c>
      <c r="AO70">
        <v>0</v>
      </c>
      <c r="AP70">
        <v>0</v>
      </c>
      <c r="AQ70" s="3">
        <v>0</v>
      </c>
    </row>
    <row r="71" spans="1:55" ht="17.5" customHeight="1" x14ac:dyDescent="0.3">
      <c r="A71" s="9" t="s">
        <v>50</v>
      </c>
      <c r="B71" s="9" t="s">
        <v>39</v>
      </c>
      <c r="C71" s="10">
        <v>31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28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9</v>
      </c>
      <c r="Q71" s="9">
        <v>0</v>
      </c>
      <c r="R71" s="9">
        <v>20</v>
      </c>
      <c r="S71" s="9">
        <v>0</v>
      </c>
      <c r="T71" s="9">
        <v>0</v>
      </c>
      <c r="U71" s="9">
        <v>0</v>
      </c>
      <c r="V71" s="9">
        <v>0</v>
      </c>
      <c r="W71" s="9">
        <v>48</v>
      </c>
      <c r="X71" s="8">
        <f t="shared" si="2"/>
        <v>105</v>
      </c>
      <c r="Z71" s="3">
        <v>0</v>
      </c>
      <c r="AA71" s="9">
        <v>0</v>
      </c>
      <c r="AB71" s="3">
        <v>0</v>
      </c>
      <c r="AC71" s="9">
        <v>0</v>
      </c>
      <c r="AD71" s="9">
        <v>0</v>
      </c>
      <c r="AE71" s="3">
        <v>0</v>
      </c>
      <c r="AF71">
        <v>0</v>
      </c>
      <c r="AG71" s="3">
        <v>0</v>
      </c>
      <c r="AH71">
        <v>0</v>
      </c>
      <c r="AI71">
        <v>0</v>
      </c>
      <c r="AJ71" s="9">
        <v>0</v>
      </c>
      <c r="AK71" s="9">
        <v>0</v>
      </c>
      <c r="AL71">
        <v>0</v>
      </c>
      <c r="AM71" s="3">
        <v>0</v>
      </c>
      <c r="AN71" s="3">
        <v>0</v>
      </c>
      <c r="AO71">
        <v>0</v>
      </c>
      <c r="AP71">
        <v>0</v>
      </c>
      <c r="AQ71" s="3">
        <v>0</v>
      </c>
    </row>
    <row r="72" spans="1:55" ht="17.5" customHeight="1" x14ac:dyDescent="0.3">
      <c r="A72" s="9" t="s">
        <v>50</v>
      </c>
      <c r="B72" s="9" t="s">
        <v>39</v>
      </c>
      <c r="C72" s="10">
        <v>32</v>
      </c>
      <c r="D72" s="9">
        <v>0</v>
      </c>
      <c r="E72" s="9">
        <v>0</v>
      </c>
      <c r="F72" s="9">
        <v>0</v>
      </c>
      <c r="G72" s="9">
        <v>0</v>
      </c>
      <c r="H72" s="9">
        <v>10</v>
      </c>
      <c r="I72" s="9">
        <v>0</v>
      </c>
      <c r="J72" s="9">
        <v>0</v>
      </c>
      <c r="K72" s="9">
        <v>0</v>
      </c>
      <c r="L72" s="9">
        <v>30</v>
      </c>
      <c r="M72" s="9">
        <v>0</v>
      </c>
      <c r="N72" s="9">
        <v>0</v>
      </c>
      <c r="O72" s="9">
        <v>38</v>
      </c>
      <c r="P72" s="9">
        <v>0</v>
      </c>
      <c r="Q72" s="9">
        <v>0</v>
      </c>
      <c r="R72" s="9">
        <v>30</v>
      </c>
      <c r="S72" s="9">
        <v>0</v>
      </c>
      <c r="T72" s="9">
        <v>0</v>
      </c>
      <c r="U72" s="9">
        <v>0</v>
      </c>
      <c r="V72" s="9">
        <v>0</v>
      </c>
      <c r="W72" s="9">
        <v>30</v>
      </c>
      <c r="X72" s="8">
        <f t="shared" si="2"/>
        <v>138</v>
      </c>
      <c r="Z72" s="3">
        <v>0</v>
      </c>
      <c r="AA72" s="9">
        <v>0</v>
      </c>
      <c r="AB72" s="3">
        <v>0</v>
      </c>
      <c r="AC72" s="9">
        <v>0</v>
      </c>
      <c r="AD72" s="9">
        <v>0</v>
      </c>
      <c r="AE72" s="3">
        <v>0</v>
      </c>
      <c r="AF72">
        <v>0</v>
      </c>
      <c r="AG72" s="9">
        <v>0</v>
      </c>
      <c r="AH72">
        <v>0</v>
      </c>
      <c r="AI72">
        <v>0</v>
      </c>
      <c r="AJ72" s="9">
        <v>0</v>
      </c>
      <c r="AK72" s="9">
        <v>0</v>
      </c>
      <c r="AL72">
        <v>0</v>
      </c>
      <c r="AM72" s="9">
        <v>0</v>
      </c>
      <c r="AN72" s="9">
        <v>0</v>
      </c>
      <c r="AO72">
        <v>0</v>
      </c>
      <c r="AP72">
        <v>0</v>
      </c>
      <c r="AQ72" s="3">
        <v>0</v>
      </c>
    </row>
    <row r="73" spans="1:55" ht="17.5" customHeight="1" x14ac:dyDescent="0.3">
      <c r="A73" s="9" t="s">
        <v>50</v>
      </c>
      <c r="B73" s="9" t="s">
        <v>39</v>
      </c>
      <c r="C73" s="10">
        <v>33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16</v>
      </c>
      <c r="M73" s="9">
        <v>0</v>
      </c>
      <c r="N73" s="9">
        <v>0</v>
      </c>
      <c r="O73" s="9">
        <v>22</v>
      </c>
      <c r="P73" s="9">
        <v>12</v>
      </c>
      <c r="Q73" s="9">
        <v>0</v>
      </c>
      <c r="R73" s="9">
        <v>16</v>
      </c>
      <c r="S73" s="9">
        <v>0</v>
      </c>
      <c r="T73" s="9">
        <v>0</v>
      </c>
      <c r="U73" s="9">
        <v>0</v>
      </c>
      <c r="V73" s="9">
        <v>0</v>
      </c>
      <c r="W73" s="9">
        <v>50</v>
      </c>
      <c r="X73" s="8">
        <f t="shared" si="2"/>
        <v>116</v>
      </c>
      <c r="Z73" s="3">
        <v>0</v>
      </c>
      <c r="AA73" s="9">
        <v>0</v>
      </c>
      <c r="AB73" s="3">
        <v>0</v>
      </c>
      <c r="AC73" s="9">
        <v>2</v>
      </c>
      <c r="AD73" s="9">
        <v>0</v>
      </c>
      <c r="AE73" s="3">
        <v>0</v>
      </c>
      <c r="AF73">
        <v>0</v>
      </c>
      <c r="AG73" s="9">
        <v>0</v>
      </c>
      <c r="AH73">
        <v>0</v>
      </c>
      <c r="AI73">
        <v>0</v>
      </c>
      <c r="AJ73" s="9">
        <v>0</v>
      </c>
      <c r="AK73" s="9">
        <v>0</v>
      </c>
      <c r="AL73">
        <v>0</v>
      </c>
      <c r="AM73" s="9">
        <v>0</v>
      </c>
      <c r="AN73" s="9">
        <v>0</v>
      </c>
      <c r="AO73">
        <v>0</v>
      </c>
      <c r="AP73">
        <v>0</v>
      </c>
      <c r="AQ73" s="3">
        <v>0</v>
      </c>
    </row>
    <row r="74" spans="1:55" ht="17.5" customHeight="1" x14ac:dyDescent="0.3">
      <c r="A74" s="9" t="s">
        <v>51</v>
      </c>
      <c r="B74" s="9" t="s">
        <v>39</v>
      </c>
      <c r="C74" s="10">
        <v>34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30</v>
      </c>
      <c r="N74" s="9">
        <v>0</v>
      </c>
      <c r="O74" s="9">
        <v>50</v>
      </c>
      <c r="P74" s="9">
        <v>5</v>
      </c>
      <c r="Q74" s="9">
        <v>0</v>
      </c>
      <c r="R74" s="9">
        <v>90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8">
        <f t="shared" si="2"/>
        <v>175</v>
      </c>
      <c r="Z74" s="3">
        <v>0</v>
      </c>
      <c r="AA74" s="9">
        <v>0</v>
      </c>
      <c r="AB74" s="3">
        <v>0</v>
      </c>
      <c r="AC74" s="9">
        <v>1</v>
      </c>
      <c r="AD74" s="9">
        <v>0</v>
      </c>
      <c r="AE74" s="3">
        <v>0</v>
      </c>
      <c r="AF74">
        <v>0</v>
      </c>
      <c r="AG74" s="9">
        <v>0</v>
      </c>
      <c r="AH74">
        <v>0</v>
      </c>
      <c r="AI74">
        <v>0</v>
      </c>
      <c r="AJ74" s="9">
        <v>1</v>
      </c>
      <c r="AK74" s="9">
        <v>0</v>
      </c>
      <c r="AL74">
        <v>0</v>
      </c>
      <c r="AM74" s="9">
        <v>1</v>
      </c>
      <c r="AN74" s="9">
        <v>0</v>
      </c>
      <c r="AO74">
        <v>0</v>
      </c>
      <c r="AP74">
        <v>0</v>
      </c>
      <c r="AQ74" s="3">
        <v>0</v>
      </c>
    </row>
    <row r="75" spans="1:55" ht="17.5" customHeight="1" x14ac:dyDescent="0.3">
      <c r="A75" s="9" t="s">
        <v>51</v>
      </c>
      <c r="B75" s="9" t="s">
        <v>39</v>
      </c>
      <c r="C75" s="10">
        <v>35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25</v>
      </c>
      <c r="N75" s="9">
        <v>0</v>
      </c>
      <c r="O75" s="9">
        <v>75</v>
      </c>
      <c r="P75" s="25" t="s">
        <v>52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10</v>
      </c>
      <c r="X75" s="8">
        <f t="shared" si="2"/>
        <v>110</v>
      </c>
      <c r="Z75" s="3">
        <v>0</v>
      </c>
      <c r="AA75" s="9">
        <v>1</v>
      </c>
      <c r="AB75" s="3">
        <v>0</v>
      </c>
      <c r="AC75" s="9">
        <v>0</v>
      </c>
      <c r="AD75" s="9">
        <v>0</v>
      </c>
      <c r="AE75" s="3">
        <v>0</v>
      </c>
      <c r="AF75">
        <v>0</v>
      </c>
      <c r="AG75" s="9">
        <v>0</v>
      </c>
      <c r="AH75">
        <v>0</v>
      </c>
      <c r="AI75">
        <v>0</v>
      </c>
      <c r="AJ75" s="9">
        <v>3</v>
      </c>
      <c r="AK75" s="9">
        <v>0</v>
      </c>
      <c r="AL75">
        <v>0</v>
      </c>
      <c r="AM75" s="9">
        <v>0</v>
      </c>
      <c r="AN75" s="9">
        <v>0</v>
      </c>
      <c r="AO75">
        <v>0</v>
      </c>
      <c r="AP75">
        <v>0</v>
      </c>
      <c r="AQ75" s="3">
        <v>0</v>
      </c>
    </row>
    <row r="76" spans="1:55" ht="17.5" customHeight="1" x14ac:dyDescent="0.3">
      <c r="A76" s="9" t="s">
        <v>51</v>
      </c>
      <c r="B76" s="9" t="s">
        <v>39</v>
      </c>
      <c r="C76" s="10">
        <v>36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5</v>
      </c>
      <c r="P76" s="9">
        <v>0</v>
      </c>
      <c r="Q76" s="9">
        <v>0</v>
      </c>
      <c r="R76" s="9">
        <v>100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8">
        <f t="shared" si="2"/>
        <v>105</v>
      </c>
      <c r="Z76" s="3">
        <v>0</v>
      </c>
      <c r="AA76" s="9">
        <v>4</v>
      </c>
      <c r="AB76" s="3">
        <v>0</v>
      </c>
      <c r="AC76" s="9">
        <v>0</v>
      </c>
      <c r="AD76" s="9">
        <v>0</v>
      </c>
      <c r="AE76" s="3">
        <v>0</v>
      </c>
      <c r="AF76">
        <v>0</v>
      </c>
      <c r="AG76" s="9">
        <v>0</v>
      </c>
      <c r="AH76">
        <v>0</v>
      </c>
      <c r="AI76">
        <v>0</v>
      </c>
      <c r="AJ76" s="9">
        <v>2</v>
      </c>
      <c r="AK76" s="9">
        <v>0</v>
      </c>
      <c r="AL76">
        <v>0</v>
      </c>
      <c r="AM76" s="9">
        <v>0</v>
      </c>
      <c r="AN76" s="9">
        <v>0</v>
      </c>
      <c r="AO76">
        <v>0</v>
      </c>
      <c r="AP76">
        <v>0</v>
      </c>
      <c r="AQ76" s="3">
        <v>0</v>
      </c>
    </row>
    <row r="77" spans="1:55" ht="17.5" customHeight="1" x14ac:dyDescent="0.3">
      <c r="A77" s="3" t="s">
        <v>53</v>
      </c>
      <c r="B77" s="9" t="s">
        <v>39</v>
      </c>
      <c r="C77" s="10">
        <v>37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2</v>
      </c>
      <c r="K77" s="9">
        <v>0</v>
      </c>
      <c r="L77" s="9">
        <v>0</v>
      </c>
      <c r="M77" s="9">
        <v>3</v>
      </c>
      <c r="N77" s="9">
        <v>0</v>
      </c>
      <c r="O77" s="9">
        <v>25</v>
      </c>
      <c r="P77" s="9">
        <v>0</v>
      </c>
      <c r="Q77" s="9">
        <v>0</v>
      </c>
      <c r="R77" s="9">
        <v>70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8">
        <f t="shared" si="2"/>
        <v>100</v>
      </c>
      <c r="Z77" s="9">
        <v>0</v>
      </c>
      <c r="AA77" s="9">
        <v>2</v>
      </c>
      <c r="AB77" s="9">
        <v>0</v>
      </c>
      <c r="AC77" s="9">
        <v>0</v>
      </c>
      <c r="AD77" s="9">
        <v>0</v>
      </c>
      <c r="AE77" s="3">
        <v>0</v>
      </c>
      <c r="AF77" s="9">
        <v>0</v>
      </c>
      <c r="AG77" s="9">
        <v>0</v>
      </c>
      <c r="AH77" s="9">
        <v>0</v>
      </c>
      <c r="AI77">
        <v>0</v>
      </c>
      <c r="AJ77" s="9">
        <v>1</v>
      </c>
      <c r="AK77" s="9">
        <v>0</v>
      </c>
      <c r="AL77">
        <v>0</v>
      </c>
      <c r="AM77" s="9">
        <v>0</v>
      </c>
      <c r="AN77" s="9">
        <v>0</v>
      </c>
      <c r="AO77">
        <v>0</v>
      </c>
      <c r="AP77">
        <v>0</v>
      </c>
      <c r="AQ77" s="9">
        <v>0</v>
      </c>
    </row>
    <row r="78" spans="1:55" ht="17.5" customHeight="1" x14ac:dyDescent="0.3">
      <c r="A78" s="3" t="s">
        <v>53</v>
      </c>
      <c r="B78" s="9" t="s">
        <v>39</v>
      </c>
      <c r="C78" s="10">
        <v>38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10</v>
      </c>
      <c r="N78" s="9">
        <v>0</v>
      </c>
      <c r="O78" s="9">
        <v>20</v>
      </c>
      <c r="P78" s="9">
        <v>0</v>
      </c>
      <c r="Q78" s="9">
        <v>0</v>
      </c>
      <c r="R78" s="9">
        <v>80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8">
        <f t="shared" si="2"/>
        <v>110</v>
      </c>
      <c r="Z78" s="9">
        <v>0</v>
      </c>
      <c r="AA78" s="9">
        <v>2</v>
      </c>
      <c r="AB78" s="9">
        <v>0</v>
      </c>
      <c r="AC78" s="9">
        <v>0</v>
      </c>
      <c r="AD78" s="9">
        <v>0</v>
      </c>
      <c r="AE78" s="3">
        <v>0</v>
      </c>
      <c r="AF78" s="9">
        <v>0</v>
      </c>
      <c r="AG78" s="9">
        <v>0</v>
      </c>
      <c r="AH78" s="9">
        <v>0</v>
      </c>
      <c r="AI78">
        <v>0</v>
      </c>
      <c r="AJ78" s="9">
        <v>0</v>
      </c>
      <c r="AK78" s="9">
        <v>0</v>
      </c>
      <c r="AL78">
        <v>0</v>
      </c>
      <c r="AM78" s="9">
        <v>1</v>
      </c>
      <c r="AN78" s="9">
        <v>0</v>
      </c>
      <c r="AO78">
        <v>0</v>
      </c>
      <c r="AP78">
        <v>0</v>
      </c>
      <c r="AQ78" s="9">
        <v>0</v>
      </c>
    </row>
    <row r="79" spans="1:55" ht="17.5" customHeight="1" x14ac:dyDescent="0.3">
      <c r="A79" s="9" t="s">
        <v>53</v>
      </c>
      <c r="B79" s="9" t="s">
        <v>39</v>
      </c>
      <c r="C79" s="10">
        <v>39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0.5</v>
      </c>
      <c r="K79" s="9">
        <v>0</v>
      </c>
      <c r="L79" s="9">
        <v>0</v>
      </c>
      <c r="M79" s="9">
        <v>10</v>
      </c>
      <c r="N79" s="9">
        <v>0</v>
      </c>
      <c r="O79" s="9">
        <v>70</v>
      </c>
      <c r="P79" s="9">
        <v>0</v>
      </c>
      <c r="Q79" s="9">
        <v>0</v>
      </c>
      <c r="R79" s="9">
        <v>90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8">
        <f t="shared" si="2"/>
        <v>170.5</v>
      </c>
      <c r="Z79" s="9">
        <v>0</v>
      </c>
      <c r="AA79" s="9">
        <v>3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3">
        <v>0</v>
      </c>
      <c r="AJ79" s="9">
        <v>0</v>
      </c>
      <c r="AK79" s="9">
        <v>0</v>
      </c>
      <c r="AL79" s="3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</row>
    <row r="80" spans="1:55" ht="17.5" customHeight="1" x14ac:dyDescent="0.3">
      <c r="A80" s="3" t="s">
        <v>54</v>
      </c>
      <c r="B80" s="9" t="s">
        <v>55</v>
      </c>
      <c r="C80" s="10">
        <v>1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2</v>
      </c>
      <c r="K80" s="9">
        <v>0</v>
      </c>
      <c r="L80" s="9">
        <v>0</v>
      </c>
      <c r="M80" s="9">
        <v>20</v>
      </c>
      <c r="N80" s="9">
        <v>0</v>
      </c>
      <c r="O80" s="9">
        <v>60</v>
      </c>
      <c r="P80" s="9">
        <v>5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13</v>
      </c>
      <c r="X80" s="8">
        <f t="shared" si="2"/>
        <v>100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>
        <v>0</v>
      </c>
      <c r="AJ80" s="9">
        <v>2</v>
      </c>
      <c r="AK80" s="9">
        <v>0</v>
      </c>
      <c r="AL80">
        <v>0</v>
      </c>
      <c r="AM80" s="9">
        <v>0</v>
      </c>
      <c r="AN80" s="9">
        <v>0</v>
      </c>
      <c r="AO80" s="9">
        <v>0</v>
      </c>
      <c r="AP80">
        <v>0</v>
      </c>
      <c r="AQ80" s="9">
        <v>0</v>
      </c>
    </row>
    <row r="81" spans="1:43" ht="17.5" customHeight="1" x14ac:dyDescent="0.3">
      <c r="A81" s="9" t="s">
        <v>54</v>
      </c>
      <c r="B81" s="9" t="s">
        <v>55</v>
      </c>
      <c r="C81" s="10">
        <v>2</v>
      </c>
      <c r="D81" s="9">
        <v>0</v>
      </c>
      <c r="E81" s="9">
        <v>2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40</v>
      </c>
      <c r="N81" s="9">
        <v>0</v>
      </c>
      <c r="O81" s="9">
        <v>15</v>
      </c>
      <c r="P81" s="9">
        <v>1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50</v>
      </c>
      <c r="X81" s="8">
        <f t="shared" si="2"/>
        <v>108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>
        <v>0</v>
      </c>
      <c r="AJ81" s="9">
        <v>0</v>
      </c>
      <c r="AK81" s="9">
        <v>0</v>
      </c>
      <c r="AL81">
        <v>0</v>
      </c>
      <c r="AM81" s="9">
        <v>0</v>
      </c>
      <c r="AN81" s="9">
        <v>0</v>
      </c>
      <c r="AO81" s="9">
        <v>0</v>
      </c>
      <c r="AP81">
        <v>0</v>
      </c>
      <c r="AQ81" s="9">
        <v>0</v>
      </c>
    </row>
    <row r="82" spans="1:43" ht="17.5" customHeight="1" x14ac:dyDescent="0.3">
      <c r="A82" s="9" t="s">
        <v>54</v>
      </c>
      <c r="B82" s="9" t="s">
        <v>55</v>
      </c>
      <c r="C82" s="10">
        <v>3</v>
      </c>
      <c r="D82" s="9">
        <v>1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5</v>
      </c>
      <c r="N82" s="9">
        <v>0</v>
      </c>
      <c r="O82" s="9">
        <v>40</v>
      </c>
      <c r="P82" s="9">
        <v>2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65</v>
      </c>
      <c r="X82" s="8">
        <f t="shared" si="2"/>
        <v>113</v>
      </c>
      <c r="Z82" s="9">
        <v>0</v>
      </c>
      <c r="AA82" s="9">
        <v>3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>
        <v>0</v>
      </c>
      <c r="AJ82" s="9">
        <v>0</v>
      </c>
      <c r="AK82" s="9">
        <v>0</v>
      </c>
      <c r="AL82">
        <v>0</v>
      </c>
      <c r="AM82" s="9">
        <v>0</v>
      </c>
      <c r="AN82" s="9">
        <v>0</v>
      </c>
      <c r="AO82" s="9">
        <v>0</v>
      </c>
      <c r="AP82">
        <v>0</v>
      </c>
      <c r="AQ82" s="9">
        <v>0</v>
      </c>
    </row>
    <row r="83" spans="1:43" ht="17.5" customHeight="1" x14ac:dyDescent="0.3">
      <c r="A83" s="9" t="s">
        <v>56</v>
      </c>
      <c r="B83" s="9" t="s">
        <v>55</v>
      </c>
      <c r="C83" s="10">
        <v>4</v>
      </c>
      <c r="D83" s="9">
        <v>1</v>
      </c>
      <c r="E83" s="9">
        <v>1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10</v>
      </c>
      <c r="N83" s="9">
        <v>0</v>
      </c>
      <c r="O83" s="9">
        <v>60</v>
      </c>
      <c r="P83" s="9">
        <v>3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30</v>
      </c>
      <c r="X83" s="8">
        <f t="shared" si="2"/>
        <v>105</v>
      </c>
      <c r="Z83" s="9">
        <v>0</v>
      </c>
      <c r="AA83" s="9">
        <v>1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>
        <v>0</v>
      </c>
      <c r="AJ83" s="9">
        <v>2</v>
      </c>
      <c r="AK83" s="9">
        <v>0</v>
      </c>
      <c r="AL83">
        <v>0</v>
      </c>
      <c r="AM83" s="9">
        <v>0</v>
      </c>
      <c r="AN83" s="9">
        <v>0</v>
      </c>
      <c r="AO83" s="9">
        <v>0</v>
      </c>
      <c r="AP83">
        <v>0</v>
      </c>
      <c r="AQ83" s="9">
        <v>0</v>
      </c>
    </row>
    <row r="84" spans="1:43" ht="17.5" customHeight="1" x14ac:dyDescent="0.3">
      <c r="A84" s="9" t="s">
        <v>56</v>
      </c>
      <c r="B84" s="9" t="s">
        <v>55</v>
      </c>
      <c r="C84" s="10">
        <v>5</v>
      </c>
      <c r="D84" s="9">
        <v>1</v>
      </c>
      <c r="E84" s="9">
        <v>0</v>
      </c>
      <c r="F84" s="9">
        <v>20</v>
      </c>
      <c r="G84" s="9">
        <v>0</v>
      </c>
      <c r="H84" s="9">
        <v>0</v>
      </c>
      <c r="I84" s="9">
        <v>0</v>
      </c>
      <c r="J84" s="9">
        <v>1</v>
      </c>
      <c r="K84" s="9">
        <v>0</v>
      </c>
      <c r="L84" s="9">
        <v>0</v>
      </c>
      <c r="M84" s="9">
        <v>5</v>
      </c>
      <c r="N84" s="9">
        <v>0</v>
      </c>
      <c r="O84" s="9">
        <v>95</v>
      </c>
      <c r="P84" s="9">
        <v>5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8">
        <f t="shared" si="2"/>
        <v>127</v>
      </c>
      <c r="Z84" s="9">
        <v>0</v>
      </c>
      <c r="AA84" s="9">
        <v>1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>
        <v>0</v>
      </c>
      <c r="AJ84" s="9">
        <v>0</v>
      </c>
      <c r="AK84" s="9">
        <v>0</v>
      </c>
      <c r="AL84">
        <v>0</v>
      </c>
      <c r="AM84" s="9">
        <v>0</v>
      </c>
      <c r="AN84" s="9">
        <v>0</v>
      </c>
      <c r="AO84" s="9">
        <v>0</v>
      </c>
      <c r="AP84">
        <v>0</v>
      </c>
      <c r="AQ84" s="9">
        <v>0</v>
      </c>
    </row>
    <row r="85" spans="1:43" ht="17.5" customHeight="1" x14ac:dyDescent="0.3">
      <c r="A85" s="4" t="s">
        <v>56</v>
      </c>
      <c r="B85" s="9" t="s">
        <v>55</v>
      </c>
      <c r="C85" s="10">
        <v>6</v>
      </c>
      <c r="D85" s="9">
        <v>0</v>
      </c>
      <c r="E85" s="9">
        <v>1</v>
      </c>
      <c r="F85" s="9">
        <v>10</v>
      </c>
      <c r="G85" s="9">
        <v>0</v>
      </c>
      <c r="H85" s="9">
        <v>0</v>
      </c>
      <c r="I85" s="9">
        <v>0</v>
      </c>
      <c r="J85" s="9">
        <v>3</v>
      </c>
      <c r="K85" s="9">
        <v>0</v>
      </c>
      <c r="L85" s="9">
        <v>0</v>
      </c>
      <c r="M85" s="9">
        <v>10</v>
      </c>
      <c r="N85" s="9">
        <v>0</v>
      </c>
      <c r="O85" s="9">
        <v>60</v>
      </c>
      <c r="P85" s="9">
        <v>3</v>
      </c>
      <c r="Q85" s="9">
        <v>0</v>
      </c>
      <c r="R85" s="9">
        <v>0</v>
      </c>
      <c r="S85" s="9">
        <v>0</v>
      </c>
      <c r="T85" s="9">
        <v>4</v>
      </c>
      <c r="U85" s="9">
        <v>0</v>
      </c>
      <c r="V85" s="9">
        <v>0</v>
      </c>
      <c r="W85" s="9">
        <v>30</v>
      </c>
      <c r="X85" s="8">
        <f t="shared" si="2"/>
        <v>121</v>
      </c>
      <c r="Z85" s="9">
        <v>0</v>
      </c>
      <c r="AA85" s="9">
        <v>1</v>
      </c>
      <c r="AB85" s="9">
        <v>0</v>
      </c>
      <c r="AC85" s="9">
        <v>1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>
        <v>0</v>
      </c>
      <c r="AJ85" s="9">
        <v>0</v>
      </c>
      <c r="AK85" s="9">
        <v>0</v>
      </c>
      <c r="AL85">
        <v>0</v>
      </c>
      <c r="AM85" s="9">
        <v>0</v>
      </c>
      <c r="AN85" s="9">
        <v>0</v>
      </c>
      <c r="AO85" s="9">
        <v>0</v>
      </c>
      <c r="AP85">
        <v>0</v>
      </c>
      <c r="AQ85" s="9">
        <v>0</v>
      </c>
    </row>
    <row r="86" spans="1:43" ht="17.5" customHeight="1" x14ac:dyDescent="0.3">
      <c r="A86" s="3" t="s">
        <v>57</v>
      </c>
      <c r="B86" s="9" t="s">
        <v>55</v>
      </c>
      <c r="C86" s="10">
        <v>7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5</v>
      </c>
      <c r="N86" s="3">
        <v>0</v>
      </c>
      <c r="O86" s="3">
        <v>45</v>
      </c>
      <c r="P86" s="3">
        <v>4</v>
      </c>
      <c r="Q86">
        <v>0</v>
      </c>
      <c r="R86" s="3">
        <v>20</v>
      </c>
      <c r="S86" s="3">
        <v>0</v>
      </c>
      <c r="T86" s="3">
        <v>0</v>
      </c>
      <c r="U86" s="3">
        <v>0</v>
      </c>
      <c r="V86" s="3">
        <v>0</v>
      </c>
      <c r="W86" s="3">
        <v>30</v>
      </c>
      <c r="X86" s="8">
        <f t="shared" si="2"/>
        <v>104</v>
      </c>
      <c r="Y86" s="3"/>
      <c r="Z86" s="3">
        <v>0</v>
      </c>
      <c r="AA86" s="3">
        <v>0</v>
      </c>
      <c r="AB86" s="3">
        <v>0</v>
      </c>
      <c r="AC86" s="3">
        <v>2</v>
      </c>
      <c r="AD86" s="3">
        <v>2</v>
      </c>
      <c r="AE86">
        <v>0</v>
      </c>
      <c r="AF86">
        <v>0</v>
      </c>
      <c r="AG86" s="3">
        <v>0</v>
      </c>
      <c r="AH86">
        <v>0</v>
      </c>
      <c r="AI86">
        <v>0</v>
      </c>
      <c r="AJ86" s="3">
        <v>0</v>
      </c>
      <c r="AK86" s="3">
        <v>0</v>
      </c>
      <c r="AL86">
        <v>0</v>
      </c>
      <c r="AM86" s="3">
        <v>0</v>
      </c>
      <c r="AN86" s="3">
        <v>0</v>
      </c>
      <c r="AO86" s="3">
        <v>0</v>
      </c>
      <c r="AP86">
        <v>0</v>
      </c>
      <c r="AQ86" s="3">
        <v>0</v>
      </c>
    </row>
    <row r="87" spans="1:43" ht="17.5" customHeight="1" x14ac:dyDescent="0.3">
      <c r="A87" s="3" t="s">
        <v>57</v>
      </c>
      <c r="B87" s="9" t="s">
        <v>55</v>
      </c>
      <c r="C87" s="10">
        <v>8</v>
      </c>
      <c r="D87" s="3">
        <v>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2</v>
      </c>
      <c r="K87" s="3">
        <v>0</v>
      </c>
      <c r="L87" s="3">
        <v>0</v>
      </c>
      <c r="M87" s="3">
        <v>20</v>
      </c>
      <c r="N87" s="3">
        <v>0</v>
      </c>
      <c r="O87" s="3">
        <v>35</v>
      </c>
      <c r="P87" s="3">
        <v>0</v>
      </c>
      <c r="Q87">
        <v>0</v>
      </c>
      <c r="R87" s="3">
        <v>35</v>
      </c>
      <c r="S87" s="3">
        <v>0</v>
      </c>
      <c r="T87" s="3">
        <v>6</v>
      </c>
      <c r="U87" s="3">
        <v>0</v>
      </c>
      <c r="V87" s="3">
        <v>0</v>
      </c>
      <c r="W87" s="3">
        <v>10</v>
      </c>
      <c r="X87" s="8">
        <f t="shared" si="2"/>
        <v>109</v>
      </c>
      <c r="Y87" s="3"/>
      <c r="Z87" s="3">
        <v>0</v>
      </c>
      <c r="AA87" s="3">
        <v>0</v>
      </c>
      <c r="AB87" s="3">
        <v>0</v>
      </c>
      <c r="AC87" s="3">
        <v>2</v>
      </c>
      <c r="AD87" s="3">
        <v>0</v>
      </c>
      <c r="AE87">
        <v>0</v>
      </c>
      <c r="AF87">
        <v>0</v>
      </c>
      <c r="AG87" s="3">
        <v>0</v>
      </c>
      <c r="AH87">
        <v>0</v>
      </c>
      <c r="AI87">
        <v>0</v>
      </c>
      <c r="AJ87" s="3">
        <v>0</v>
      </c>
      <c r="AK87" s="3">
        <v>0</v>
      </c>
      <c r="AL87">
        <v>0</v>
      </c>
      <c r="AM87" s="3">
        <v>0</v>
      </c>
      <c r="AN87" s="3">
        <v>0</v>
      </c>
      <c r="AO87" s="3">
        <v>0</v>
      </c>
      <c r="AP87">
        <v>0</v>
      </c>
      <c r="AQ87" s="3">
        <v>0</v>
      </c>
    </row>
    <row r="88" spans="1:43" ht="17.5" customHeight="1" x14ac:dyDescent="0.3">
      <c r="A88" s="3" t="s">
        <v>57</v>
      </c>
      <c r="B88" s="9" t="s">
        <v>55</v>
      </c>
      <c r="C88" s="10">
        <v>9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2</v>
      </c>
      <c r="K88" s="3">
        <v>0</v>
      </c>
      <c r="L88" s="3">
        <v>0</v>
      </c>
      <c r="M88" s="3">
        <v>15</v>
      </c>
      <c r="N88" s="3">
        <v>0</v>
      </c>
      <c r="O88" s="3">
        <v>55</v>
      </c>
      <c r="P88" s="3">
        <v>3</v>
      </c>
      <c r="Q88">
        <v>0</v>
      </c>
      <c r="R88" s="3">
        <v>25</v>
      </c>
      <c r="S88" s="3">
        <v>0</v>
      </c>
      <c r="T88" s="3">
        <v>0</v>
      </c>
      <c r="U88" s="3">
        <v>0</v>
      </c>
      <c r="V88" s="3">
        <v>0</v>
      </c>
      <c r="W88" s="3">
        <v>5</v>
      </c>
      <c r="X88" s="8">
        <f t="shared" si="2"/>
        <v>106</v>
      </c>
      <c r="Y88" s="3"/>
      <c r="Z88" s="3">
        <v>0</v>
      </c>
      <c r="AA88" s="3">
        <v>0</v>
      </c>
      <c r="AB88" s="3">
        <v>0</v>
      </c>
      <c r="AC88" s="3">
        <v>1</v>
      </c>
      <c r="AD88" s="3">
        <v>0</v>
      </c>
      <c r="AE88">
        <v>0</v>
      </c>
      <c r="AF88">
        <v>0</v>
      </c>
      <c r="AG88" s="3">
        <v>0</v>
      </c>
      <c r="AH88">
        <v>0</v>
      </c>
      <c r="AI88">
        <v>0</v>
      </c>
      <c r="AJ88" s="3">
        <v>0</v>
      </c>
      <c r="AK88" s="3">
        <v>0</v>
      </c>
      <c r="AL88">
        <v>0</v>
      </c>
      <c r="AM88" s="3">
        <v>0</v>
      </c>
      <c r="AN88" s="3">
        <v>0</v>
      </c>
      <c r="AO88" s="3">
        <v>0</v>
      </c>
      <c r="AP88">
        <v>0</v>
      </c>
      <c r="AQ88" s="3">
        <v>0</v>
      </c>
    </row>
    <row r="89" spans="1:43" ht="16.5" customHeight="1" x14ac:dyDescent="0.3">
      <c r="A89" s="3" t="s">
        <v>58</v>
      </c>
      <c r="B89" s="3" t="s">
        <v>55</v>
      </c>
      <c r="C89" s="10">
        <v>10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5</v>
      </c>
      <c r="N89" s="3">
        <v>0</v>
      </c>
      <c r="O89" s="3">
        <v>45</v>
      </c>
      <c r="P89" s="3">
        <v>1</v>
      </c>
      <c r="Q89" s="3">
        <v>0</v>
      </c>
      <c r="R89" s="9">
        <v>20</v>
      </c>
      <c r="S89" s="3">
        <v>0</v>
      </c>
      <c r="T89" s="9">
        <v>0</v>
      </c>
      <c r="U89" s="9">
        <v>0</v>
      </c>
      <c r="V89" s="3">
        <v>0</v>
      </c>
      <c r="W89" s="3">
        <v>30</v>
      </c>
      <c r="X89" s="8">
        <f t="shared" si="2"/>
        <v>101</v>
      </c>
      <c r="Y89" s="7"/>
      <c r="Z89" s="3">
        <v>0</v>
      </c>
      <c r="AA89" s="3">
        <v>0</v>
      </c>
      <c r="AB89" s="3">
        <v>0</v>
      </c>
      <c r="AC89" s="3">
        <v>2</v>
      </c>
      <c r="AD89" s="3">
        <v>2</v>
      </c>
      <c r="AE89" s="3">
        <v>0</v>
      </c>
      <c r="AF89">
        <v>0</v>
      </c>
      <c r="AG89" s="3">
        <v>0</v>
      </c>
      <c r="AH89">
        <v>0</v>
      </c>
      <c r="AI89" s="3">
        <v>0</v>
      </c>
      <c r="AJ89" s="3">
        <v>1</v>
      </c>
      <c r="AK89" s="3">
        <v>0</v>
      </c>
      <c r="AL89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1:43" ht="16.5" customHeight="1" x14ac:dyDescent="0.3">
      <c r="A90" s="21" t="s">
        <v>58</v>
      </c>
      <c r="B90" s="3" t="s">
        <v>55</v>
      </c>
      <c r="C90" s="10">
        <v>11</v>
      </c>
      <c r="D90" s="21">
        <v>0.1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2</v>
      </c>
      <c r="K90" s="3">
        <v>0</v>
      </c>
      <c r="L90" s="3">
        <v>0</v>
      </c>
      <c r="M90" s="3">
        <v>8</v>
      </c>
      <c r="N90" s="3">
        <v>0</v>
      </c>
      <c r="O90" s="3">
        <v>50</v>
      </c>
      <c r="P90" s="3">
        <v>1</v>
      </c>
      <c r="Q90" s="3">
        <v>0</v>
      </c>
      <c r="R90" s="9">
        <v>10</v>
      </c>
      <c r="S90" s="3">
        <v>0</v>
      </c>
      <c r="T90" s="9">
        <v>8</v>
      </c>
      <c r="U90" s="9">
        <v>0</v>
      </c>
      <c r="V90" s="3">
        <v>0</v>
      </c>
      <c r="W90" s="3">
        <v>35</v>
      </c>
      <c r="X90" s="8">
        <f t="shared" si="2"/>
        <v>114.1</v>
      </c>
      <c r="Y90" s="7"/>
      <c r="Z90" s="3">
        <v>0</v>
      </c>
      <c r="AA90" s="3">
        <v>0</v>
      </c>
      <c r="AB90" s="3">
        <v>0</v>
      </c>
      <c r="AC90" s="3">
        <v>2</v>
      </c>
      <c r="AD90" s="3">
        <v>0</v>
      </c>
      <c r="AE90" s="3">
        <v>0</v>
      </c>
      <c r="AF90">
        <v>0</v>
      </c>
      <c r="AG90" s="3">
        <v>0</v>
      </c>
      <c r="AH90">
        <v>0</v>
      </c>
      <c r="AI90" s="3">
        <v>0</v>
      </c>
      <c r="AJ90" s="3">
        <v>0</v>
      </c>
      <c r="AK90" s="3">
        <v>0</v>
      </c>
      <c r="AL90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</row>
    <row r="91" spans="1:43" ht="16.5" customHeight="1" x14ac:dyDescent="0.3">
      <c r="A91" s="21" t="s">
        <v>58</v>
      </c>
      <c r="B91" s="3" t="s">
        <v>55</v>
      </c>
      <c r="C91" s="10">
        <v>12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10</v>
      </c>
      <c r="K91" s="3">
        <v>0</v>
      </c>
      <c r="L91" s="9">
        <v>0</v>
      </c>
      <c r="M91" s="3">
        <v>15</v>
      </c>
      <c r="N91" s="3">
        <v>0</v>
      </c>
      <c r="O91" s="3">
        <v>30</v>
      </c>
      <c r="P91" s="3">
        <v>10</v>
      </c>
      <c r="Q91" s="3">
        <v>0</v>
      </c>
      <c r="R91" s="9">
        <v>0</v>
      </c>
      <c r="S91" s="3">
        <v>0</v>
      </c>
      <c r="T91" s="9">
        <v>0</v>
      </c>
      <c r="U91" s="9">
        <v>0</v>
      </c>
      <c r="V91" s="9">
        <v>0</v>
      </c>
      <c r="W91" s="3">
        <v>35</v>
      </c>
      <c r="X91" s="8">
        <f t="shared" si="2"/>
        <v>100</v>
      </c>
      <c r="Y91" s="7"/>
      <c r="Z91" s="3">
        <v>0</v>
      </c>
      <c r="AA91" s="3">
        <v>0</v>
      </c>
      <c r="AB91" s="3">
        <v>0</v>
      </c>
      <c r="AC91" s="3">
        <v>6</v>
      </c>
      <c r="AD91" s="3">
        <v>0</v>
      </c>
      <c r="AE91" s="3">
        <v>0</v>
      </c>
      <c r="AF91">
        <v>0</v>
      </c>
      <c r="AG91" s="3">
        <v>0</v>
      </c>
      <c r="AH91">
        <v>0</v>
      </c>
      <c r="AI91" s="3">
        <v>0</v>
      </c>
      <c r="AJ91" s="3">
        <v>0</v>
      </c>
      <c r="AK91" s="9">
        <v>0</v>
      </c>
      <c r="AL91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1:43" ht="16.5" customHeight="1" x14ac:dyDescent="0.3">
      <c r="A92" s="3" t="s">
        <v>59</v>
      </c>
      <c r="B92" s="3" t="s">
        <v>55</v>
      </c>
      <c r="C92" s="10">
        <v>13</v>
      </c>
      <c r="D92" s="3">
        <v>0</v>
      </c>
      <c r="E92" s="3">
        <v>0</v>
      </c>
      <c r="F92" s="9">
        <v>0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9">
        <v>0</v>
      </c>
      <c r="M92" s="3">
        <v>7</v>
      </c>
      <c r="N92" s="3">
        <v>0</v>
      </c>
      <c r="O92" s="3">
        <v>40</v>
      </c>
      <c r="P92" s="3">
        <v>2</v>
      </c>
      <c r="Q92" s="9">
        <v>0</v>
      </c>
      <c r="R92" s="9">
        <v>0</v>
      </c>
      <c r="S92" s="3">
        <v>0</v>
      </c>
      <c r="T92" s="9">
        <v>0</v>
      </c>
      <c r="U92" s="9">
        <v>0</v>
      </c>
      <c r="V92" s="9">
        <v>0</v>
      </c>
      <c r="W92" s="3">
        <v>50</v>
      </c>
      <c r="X92" s="8">
        <f t="shared" si="2"/>
        <v>100</v>
      </c>
      <c r="Y92" s="7"/>
      <c r="Z92" s="3">
        <v>0</v>
      </c>
      <c r="AA92" s="3">
        <v>1</v>
      </c>
      <c r="AB92" s="3">
        <v>0</v>
      </c>
      <c r="AC92" s="3">
        <v>0</v>
      </c>
      <c r="AD92" s="3">
        <v>0</v>
      </c>
      <c r="AE92" s="3">
        <v>0</v>
      </c>
      <c r="AF92">
        <v>0</v>
      </c>
      <c r="AG92" s="3">
        <v>0</v>
      </c>
      <c r="AH92">
        <v>0</v>
      </c>
      <c r="AI92" s="3">
        <v>0</v>
      </c>
      <c r="AJ92" s="3">
        <v>0</v>
      </c>
      <c r="AK92" s="9">
        <v>0</v>
      </c>
      <c r="AL92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1:43" ht="16.5" customHeight="1" x14ac:dyDescent="0.3">
      <c r="A93" s="3" t="s">
        <v>59</v>
      </c>
      <c r="B93" s="3" t="s">
        <v>55</v>
      </c>
      <c r="C93" s="10">
        <v>14</v>
      </c>
      <c r="D93" s="3">
        <v>0</v>
      </c>
      <c r="E93" s="3">
        <v>1</v>
      </c>
      <c r="F93" s="9">
        <v>0</v>
      </c>
      <c r="G93" s="3">
        <v>0</v>
      </c>
      <c r="H93" s="3">
        <v>0</v>
      </c>
      <c r="I93" s="3">
        <v>0</v>
      </c>
      <c r="J93" s="3">
        <v>4</v>
      </c>
      <c r="K93" s="3">
        <v>0</v>
      </c>
      <c r="L93" s="9">
        <v>0</v>
      </c>
      <c r="M93" s="3">
        <v>5</v>
      </c>
      <c r="N93" s="3">
        <v>0</v>
      </c>
      <c r="O93" s="3">
        <v>30</v>
      </c>
      <c r="P93" s="3">
        <v>5</v>
      </c>
      <c r="Q93" s="9">
        <v>0</v>
      </c>
      <c r="R93" s="9">
        <v>0</v>
      </c>
      <c r="S93" s="3">
        <v>0</v>
      </c>
      <c r="T93" s="9">
        <v>0</v>
      </c>
      <c r="U93" s="9">
        <v>0</v>
      </c>
      <c r="V93" s="9">
        <v>0</v>
      </c>
      <c r="W93" s="3">
        <v>55</v>
      </c>
      <c r="X93" s="8">
        <f t="shared" ref="X93:X118" si="3">SUM(D93:W93)</f>
        <v>100</v>
      </c>
      <c r="Y93" s="7"/>
      <c r="Z93" s="3">
        <v>0</v>
      </c>
      <c r="AA93" s="3">
        <v>2</v>
      </c>
      <c r="AB93" s="3">
        <v>0</v>
      </c>
      <c r="AC93" s="3">
        <v>0</v>
      </c>
      <c r="AD93" s="3">
        <v>0</v>
      </c>
      <c r="AE93" s="3">
        <v>0</v>
      </c>
      <c r="AF93">
        <v>0</v>
      </c>
      <c r="AG93" s="3">
        <v>0</v>
      </c>
      <c r="AH93">
        <v>0</v>
      </c>
      <c r="AI93" s="3">
        <v>0</v>
      </c>
      <c r="AJ93" s="3">
        <v>0</v>
      </c>
      <c r="AK93" s="9">
        <v>0</v>
      </c>
      <c r="AL9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1:43" ht="16.5" customHeight="1" x14ac:dyDescent="0.3">
      <c r="A94" s="3" t="s">
        <v>59</v>
      </c>
      <c r="B94" s="3" t="s">
        <v>55</v>
      </c>
      <c r="C94" s="10">
        <v>15</v>
      </c>
      <c r="D94" s="3">
        <v>0</v>
      </c>
      <c r="E94" s="3">
        <v>3</v>
      </c>
      <c r="F94" s="9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9">
        <v>0</v>
      </c>
      <c r="M94" s="3">
        <v>15</v>
      </c>
      <c r="N94" s="3">
        <v>0</v>
      </c>
      <c r="O94" s="3">
        <v>60</v>
      </c>
      <c r="P94" s="3">
        <v>5</v>
      </c>
      <c r="Q94" s="9">
        <v>0</v>
      </c>
      <c r="R94" s="9">
        <v>0</v>
      </c>
      <c r="S94" s="3">
        <v>0</v>
      </c>
      <c r="T94" s="9">
        <v>1</v>
      </c>
      <c r="U94" s="9">
        <v>0</v>
      </c>
      <c r="V94" s="9">
        <v>0</v>
      </c>
      <c r="W94" s="3">
        <v>16</v>
      </c>
      <c r="X94" s="8">
        <f t="shared" si="3"/>
        <v>100</v>
      </c>
      <c r="Y94" s="7"/>
      <c r="Z94" s="3">
        <v>0</v>
      </c>
      <c r="AA94" s="3">
        <v>2</v>
      </c>
      <c r="AB94" s="3">
        <v>0</v>
      </c>
      <c r="AC94" s="3">
        <v>1</v>
      </c>
      <c r="AD94" s="3">
        <v>0</v>
      </c>
      <c r="AE94" s="3">
        <v>0</v>
      </c>
      <c r="AF94">
        <v>0</v>
      </c>
      <c r="AG94" s="3">
        <v>0</v>
      </c>
      <c r="AH94">
        <v>0</v>
      </c>
      <c r="AI94" s="3">
        <v>0</v>
      </c>
      <c r="AJ94" s="3">
        <v>0</v>
      </c>
      <c r="AK94" s="9">
        <v>0</v>
      </c>
      <c r="AL94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1:43" ht="16.5" customHeight="1" x14ac:dyDescent="0.3">
      <c r="A95" s="3" t="s">
        <v>60</v>
      </c>
      <c r="B95" s="3" t="s">
        <v>55</v>
      </c>
      <c r="C95" s="10">
        <v>16</v>
      </c>
      <c r="D95" s="3">
        <v>3</v>
      </c>
      <c r="E95" s="3">
        <v>2</v>
      </c>
      <c r="F95" s="9">
        <v>0</v>
      </c>
      <c r="G95" s="3">
        <v>0</v>
      </c>
      <c r="H95" s="3">
        <v>0</v>
      </c>
      <c r="I95" s="3">
        <v>0</v>
      </c>
      <c r="J95" s="3">
        <v>15</v>
      </c>
      <c r="K95" s="3">
        <v>0</v>
      </c>
      <c r="L95" s="9">
        <v>0</v>
      </c>
      <c r="M95" s="3">
        <v>10</v>
      </c>
      <c r="N95" s="3">
        <v>0</v>
      </c>
      <c r="O95" s="3">
        <v>20</v>
      </c>
      <c r="P95" s="3">
        <v>5</v>
      </c>
      <c r="Q95" s="9">
        <v>0</v>
      </c>
      <c r="R95" s="9">
        <v>0</v>
      </c>
      <c r="S95" s="3">
        <v>8</v>
      </c>
      <c r="T95" s="9">
        <v>0</v>
      </c>
      <c r="U95" s="9">
        <v>0</v>
      </c>
      <c r="V95" s="9">
        <v>0</v>
      </c>
      <c r="W95" s="3">
        <v>37</v>
      </c>
      <c r="X95" s="8">
        <f t="shared" si="3"/>
        <v>100</v>
      </c>
      <c r="Y95" s="7"/>
      <c r="Z95" s="3">
        <v>0</v>
      </c>
      <c r="AA95" s="3">
        <v>1</v>
      </c>
      <c r="AB95" s="3">
        <v>0</v>
      </c>
      <c r="AC95" s="3">
        <v>0</v>
      </c>
      <c r="AD95" s="3">
        <v>0</v>
      </c>
      <c r="AE95" s="3">
        <v>0</v>
      </c>
      <c r="AF95">
        <v>0</v>
      </c>
      <c r="AG95" s="3">
        <v>0</v>
      </c>
      <c r="AH95">
        <v>0</v>
      </c>
      <c r="AI95" s="3">
        <v>0</v>
      </c>
      <c r="AJ95" s="3">
        <v>0</v>
      </c>
      <c r="AK95" s="9">
        <v>0</v>
      </c>
      <c r="AL95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</row>
    <row r="96" spans="1:43" ht="16.5" customHeight="1" x14ac:dyDescent="0.3">
      <c r="A96" s="3" t="s">
        <v>60</v>
      </c>
      <c r="B96" s="3" t="s">
        <v>55</v>
      </c>
      <c r="C96" s="10">
        <v>17</v>
      </c>
      <c r="D96" s="3">
        <v>2</v>
      </c>
      <c r="E96" s="3">
        <v>0</v>
      </c>
      <c r="F96" s="9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9">
        <v>0</v>
      </c>
      <c r="M96" s="3">
        <v>20</v>
      </c>
      <c r="N96" s="3">
        <v>0</v>
      </c>
      <c r="O96" s="3">
        <v>55</v>
      </c>
      <c r="P96" s="3">
        <v>2</v>
      </c>
      <c r="Q96" s="9">
        <v>0</v>
      </c>
      <c r="R96" s="9">
        <v>0</v>
      </c>
      <c r="S96" s="3">
        <v>0</v>
      </c>
      <c r="T96" s="9">
        <v>0</v>
      </c>
      <c r="U96" s="9">
        <v>0</v>
      </c>
      <c r="V96" s="9">
        <v>0</v>
      </c>
      <c r="W96" s="3">
        <v>21</v>
      </c>
      <c r="X96" s="8">
        <f t="shared" si="3"/>
        <v>100</v>
      </c>
      <c r="Y96" s="7"/>
      <c r="Z96" s="3">
        <v>0</v>
      </c>
      <c r="AA96" s="3">
        <v>1</v>
      </c>
      <c r="AB96" s="3">
        <v>0</v>
      </c>
      <c r="AC96" s="3">
        <v>0</v>
      </c>
      <c r="AD96" s="3">
        <v>0</v>
      </c>
      <c r="AE96" s="3">
        <v>0</v>
      </c>
      <c r="AF96">
        <v>0</v>
      </c>
      <c r="AG96" s="3">
        <v>0</v>
      </c>
      <c r="AH96">
        <v>0</v>
      </c>
      <c r="AI96" s="3">
        <v>0</v>
      </c>
      <c r="AJ96" s="3">
        <v>0</v>
      </c>
      <c r="AK96" s="9">
        <v>0</v>
      </c>
      <c r="AL96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1:43" ht="16.5" customHeight="1" x14ac:dyDescent="0.3">
      <c r="A97" s="17" t="s">
        <v>60</v>
      </c>
      <c r="B97" s="3" t="s">
        <v>55</v>
      </c>
      <c r="C97" s="10">
        <v>18</v>
      </c>
      <c r="D97" s="3">
        <v>1</v>
      </c>
      <c r="E97" s="3">
        <v>4</v>
      </c>
      <c r="F97" s="9">
        <v>0</v>
      </c>
      <c r="G97" s="3">
        <v>0</v>
      </c>
      <c r="H97" s="3">
        <v>0</v>
      </c>
      <c r="I97" s="3">
        <v>0</v>
      </c>
      <c r="J97" s="3">
        <v>4</v>
      </c>
      <c r="K97" s="3">
        <v>0</v>
      </c>
      <c r="L97" s="9">
        <v>0</v>
      </c>
      <c r="M97" s="3">
        <v>10</v>
      </c>
      <c r="N97" s="3">
        <v>0</v>
      </c>
      <c r="O97" s="3">
        <v>30</v>
      </c>
      <c r="P97" s="3">
        <v>0</v>
      </c>
      <c r="Q97" s="9">
        <v>0</v>
      </c>
      <c r="R97" s="9">
        <v>0</v>
      </c>
      <c r="S97" s="3">
        <v>0</v>
      </c>
      <c r="T97" s="9">
        <v>0</v>
      </c>
      <c r="U97" s="9">
        <v>0</v>
      </c>
      <c r="V97" s="9">
        <v>0</v>
      </c>
      <c r="W97" s="3">
        <v>51</v>
      </c>
      <c r="X97" s="8">
        <f t="shared" si="3"/>
        <v>100</v>
      </c>
      <c r="Y97" s="7"/>
      <c r="Z97" s="3">
        <v>0</v>
      </c>
      <c r="AA97" s="3">
        <v>1</v>
      </c>
      <c r="AB97" s="3">
        <v>0</v>
      </c>
      <c r="AC97" s="3">
        <v>0</v>
      </c>
      <c r="AD97" s="3">
        <v>0</v>
      </c>
      <c r="AE97" s="3">
        <v>0</v>
      </c>
      <c r="AF97">
        <v>0</v>
      </c>
      <c r="AG97" s="3">
        <v>0</v>
      </c>
      <c r="AH97">
        <v>0</v>
      </c>
      <c r="AI97" s="3">
        <v>0</v>
      </c>
      <c r="AJ97" s="3">
        <v>0</v>
      </c>
      <c r="AK97" s="9">
        <v>0</v>
      </c>
      <c r="AL97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1:43" ht="16.5" customHeight="1" x14ac:dyDescent="0.3">
      <c r="A98" s="17" t="s">
        <v>61</v>
      </c>
      <c r="B98" s="3" t="s">
        <v>55</v>
      </c>
      <c r="C98" s="10">
        <v>19</v>
      </c>
      <c r="D98" s="3">
        <v>0</v>
      </c>
      <c r="E98" s="3">
        <v>6</v>
      </c>
      <c r="F98" s="9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9">
        <v>0</v>
      </c>
      <c r="M98" s="3">
        <v>20</v>
      </c>
      <c r="N98" s="3">
        <v>0</v>
      </c>
      <c r="O98" s="3">
        <v>40</v>
      </c>
      <c r="P98" s="3">
        <v>4</v>
      </c>
      <c r="Q98" s="9">
        <v>0</v>
      </c>
      <c r="R98" s="9">
        <v>0</v>
      </c>
      <c r="S98" s="3">
        <v>0</v>
      </c>
      <c r="T98" s="9">
        <v>0</v>
      </c>
      <c r="U98" s="9">
        <v>0</v>
      </c>
      <c r="V98" s="9">
        <v>0</v>
      </c>
      <c r="W98" s="9">
        <v>30</v>
      </c>
      <c r="X98" s="8">
        <f t="shared" si="3"/>
        <v>100</v>
      </c>
      <c r="Y98" s="7"/>
      <c r="Z98" s="3">
        <v>0</v>
      </c>
      <c r="AA98" s="3">
        <v>0</v>
      </c>
      <c r="AB98" s="3">
        <v>0</v>
      </c>
      <c r="AC98" s="3">
        <v>1</v>
      </c>
      <c r="AD98" s="3">
        <v>0</v>
      </c>
      <c r="AE98" s="3">
        <v>0</v>
      </c>
      <c r="AF98">
        <v>0</v>
      </c>
      <c r="AG98" s="3">
        <v>0</v>
      </c>
      <c r="AH98">
        <v>0</v>
      </c>
      <c r="AI98" s="3">
        <v>0</v>
      </c>
      <c r="AJ98" s="3">
        <v>0</v>
      </c>
      <c r="AK98" s="9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1:43" ht="16.5" customHeight="1" x14ac:dyDescent="0.3">
      <c r="A99" s="17" t="s">
        <v>61</v>
      </c>
      <c r="B99" s="3" t="s">
        <v>55</v>
      </c>
      <c r="C99" s="10">
        <v>20</v>
      </c>
      <c r="D99" s="3">
        <v>0</v>
      </c>
      <c r="E99" s="3">
        <v>0</v>
      </c>
      <c r="F99" s="9">
        <v>0</v>
      </c>
      <c r="G99" s="3">
        <v>0</v>
      </c>
      <c r="H99" s="3">
        <v>0</v>
      </c>
      <c r="I99" s="3">
        <v>0</v>
      </c>
      <c r="J99" s="3">
        <v>40</v>
      </c>
      <c r="K99" s="3">
        <v>0</v>
      </c>
      <c r="L99" s="9">
        <v>0</v>
      </c>
      <c r="M99" s="3">
        <v>10</v>
      </c>
      <c r="N99" s="3">
        <v>0</v>
      </c>
      <c r="O99" s="3">
        <v>40</v>
      </c>
      <c r="P99" s="3">
        <v>5</v>
      </c>
      <c r="Q99" s="9">
        <v>0</v>
      </c>
      <c r="R99" s="9">
        <v>0</v>
      </c>
      <c r="S99" s="3">
        <v>0</v>
      </c>
      <c r="T99" s="9">
        <v>0</v>
      </c>
      <c r="U99" s="9">
        <v>0</v>
      </c>
      <c r="V99" s="9">
        <v>0</v>
      </c>
      <c r="W99" s="9">
        <v>10</v>
      </c>
      <c r="X99" s="8">
        <f t="shared" si="3"/>
        <v>105</v>
      </c>
      <c r="Y99" s="7"/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>
        <v>0</v>
      </c>
      <c r="AG99" s="3">
        <v>0</v>
      </c>
      <c r="AH99">
        <v>0</v>
      </c>
      <c r="AI99" s="3">
        <v>0</v>
      </c>
      <c r="AJ99" s="3">
        <v>0</v>
      </c>
      <c r="AK99" s="9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1:43" ht="16.5" customHeight="1" x14ac:dyDescent="0.3">
      <c r="A100" s="3" t="s">
        <v>61</v>
      </c>
      <c r="B100" s="3" t="s">
        <v>55</v>
      </c>
      <c r="C100" s="10">
        <v>21</v>
      </c>
      <c r="D100" s="3">
        <v>4</v>
      </c>
      <c r="E100" s="3">
        <v>0</v>
      </c>
      <c r="F100" s="9">
        <v>0</v>
      </c>
      <c r="G100" s="3">
        <v>0</v>
      </c>
      <c r="H100" s="3">
        <v>0</v>
      </c>
      <c r="I100" s="3">
        <v>0</v>
      </c>
      <c r="J100" s="3">
        <v>10</v>
      </c>
      <c r="K100" s="3">
        <v>0</v>
      </c>
      <c r="L100" s="9">
        <v>0</v>
      </c>
      <c r="M100" s="3">
        <v>20</v>
      </c>
      <c r="N100" s="3">
        <v>0</v>
      </c>
      <c r="O100" s="3">
        <v>50</v>
      </c>
      <c r="P100" s="3">
        <v>8</v>
      </c>
      <c r="Q100" s="9">
        <v>0</v>
      </c>
      <c r="R100" s="9">
        <v>0</v>
      </c>
      <c r="S100" s="3">
        <v>0</v>
      </c>
      <c r="T100" s="9">
        <v>0</v>
      </c>
      <c r="U100" s="9">
        <v>0</v>
      </c>
      <c r="V100" s="9">
        <v>0</v>
      </c>
      <c r="W100" s="9">
        <v>10</v>
      </c>
      <c r="X100" s="8">
        <f t="shared" si="3"/>
        <v>102</v>
      </c>
      <c r="Y100" s="7"/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>
        <v>0</v>
      </c>
      <c r="AG100" s="3">
        <v>0</v>
      </c>
      <c r="AH100">
        <v>0</v>
      </c>
      <c r="AI100" s="3">
        <v>0</v>
      </c>
      <c r="AJ100" s="3">
        <v>0</v>
      </c>
      <c r="AK100" s="9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1:43" ht="16.5" customHeight="1" x14ac:dyDescent="0.3">
      <c r="A101" s="17" t="s">
        <v>62</v>
      </c>
      <c r="B101" s="3" t="s">
        <v>55</v>
      </c>
      <c r="C101" s="10">
        <v>22</v>
      </c>
      <c r="D101" s="3">
        <v>0</v>
      </c>
      <c r="E101" s="3">
        <v>0</v>
      </c>
      <c r="F101" s="9">
        <v>0</v>
      </c>
      <c r="G101" s="3">
        <v>0</v>
      </c>
      <c r="H101" s="3">
        <v>0</v>
      </c>
      <c r="I101" s="3">
        <v>0</v>
      </c>
      <c r="J101" s="3">
        <v>10</v>
      </c>
      <c r="K101" s="3">
        <v>0</v>
      </c>
      <c r="L101" s="9">
        <v>0</v>
      </c>
      <c r="M101" s="3">
        <v>15</v>
      </c>
      <c r="N101" s="3">
        <v>0</v>
      </c>
      <c r="O101" s="3">
        <v>40</v>
      </c>
      <c r="P101" s="3">
        <v>7</v>
      </c>
      <c r="Q101" s="9">
        <v>0</v>
      </c>
      <c r="R101" s="9">
        <v>0</v>
      </c>
      <c r="S101" s="3">
        <v>0</v>
      </c>
      <c r="T101" s="9">
        <v>0</v>
      </c>
      <c r="U101" s="9">
        <v>0</v>
      </c>
      <c r="V101" s="9">
        <v>0</v>
      </c>
      <c r="W101" s="9">
        <v>30</v>
      </c>
      <c r="X101" s="8">
        <f t="shared" si="3"/>
        <v>102</v>
      </c>
      <c r="Y101" s="7"/>
      <c r="Z101" s="3">
        <v>0</v>
      </c>
      <c r="AA101" s="3">
        <v>1</v>
      </c>
      <c r="AB101" s="3">
        <v>0</v>
      </c>
      <c r="AC101" s="3">
        <v>0</v>
      </c>
      <c r="AD101" s="3">
        <v>0</v>
      </c>
      <c r="AE101" s="3">
        <v>0</v>
      </c>
      <c r="AF101">
        <v>0</v>
      </c>
      <c r="AG101" s="3">
        <v>0</v>
      </c>
      <c r="AH101">
        <v>0</v>
      </c>
      <c r="AI101" s="3">
        <v>0</v>
      </c>
      <c r="AJ101" s="3">
        <v>0</v>
      </c>
      <c r="AK101" s="9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1:43" ht="16.5" customHeight="1" x14ac:dyDescent="0.3">
      <c r="A102" s="17" t="s">
        <v>62</v>
      </c>
      <c r="B102" s="3" t="s">
        <v>55</v>
      </c>
      <c r="C102" s="10">
        <v>23</v>
      </c>
      <c r="D102" s="3">
        <v>0</v>
      </c>
      <c r="E102" s="3">
        <v>8</v>
      </c>
      <c r="F102" s="9">
        <v>0</v>
      </c>
      <c r="G102" s="3">
        <v>0</v>
      </c>
      <c r="H102" s="3">
        <v>0</v>
      </c>
      <c r="I102" s="3">
        <v>0</v>
      </c>
      <c r="J102" s="3">
        <v>20</v>
      </c>
      <c r="K102" s="3">
        <v>0</v>
      </c>
      <c r="L102" s="9">
        <v>0</v>
      </c>
      <c r="M102" s="3">
        <v>0</v>
      </c>
      <c r="N102" s="3">
        <v>0</v>
      </c>
      <c r="O102" s="3">
        <v>30</v>
      </c>
      <c r="P102" s="3">
        <v>15</v>
      </c>
      <c r="Q102" s="9">
        <v>0</v>
      </c>
      <c r="R102" s="9">
        <v>0</v>
      </c>
      <c r="S102" s="3">
        <v>0</v>
      </c>
      <c r="T102" s="9">
        <v>0</v>
      </c>
      <c r="U102" s="9">
        <v>0</v>
      </c>
      <c r="V102" s="9">
        <v>0</v>
      </c>
      <c r="W102" s="9">
        <v>30</v>
      </c>
      <c r="X102" s="8">
        <f t="shared" si="3"/>
        <v>103</v>
      </c>
      <c r="Y102" s="7"/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>
        <v>0</v>
      </c>
      <c r="AG102" s="3">
        <v>0</v>
      </c>
      <c r="AH102">
        <v>0</v>
      </c>
      <c r="AI102" s="3">
        <v>0</v>
      </c>
      <c r="AJ102" s="3">
        <v>2</v>
      </c>
      <c r="AK102" s="9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  <row r="103" spans="1:43" ht="14.5" customHeight="1" x14ac:dyDescent="0.3">
      <c r="A103" s="3" t="s">
        <v>62</v>
      </c>
      <c r="B103" s="3" t="s">
        <v>55</v>
      </c>
      <c r="C103" s="10">
        <v>24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25</v>
      </c>
      <c r="N103" s="3">
        <v>0</v>
      </c>
      <c r="O103" s="3">
        <v>30</v>
      </c>
      <c r="P103" s="3">
        <v>8</v>
      </c>
      <c r="Q103" s="3">
        <v>0</v>
      </c>
      <c r="R103" s="9">
        <v>0</v>
      </c>
      <c r="S103" s="3">
        <v>1</v>
      </c>
      <c r="T103" s="9">
        <v>0</v>
      </c>
      <c r="U103" s="9">
        <v>0</v>
      </c>
      <c r="V103" s="3">
        <v>0</v>
      </c>
      <c r="W103" s="3">
        <v>40</v>
      </c>
      <c r="X103" s="8">
        <f t="shared" si="3"/>
        <v>104</v>
      </c>
      <c r="Y103" s="7"/>
      <c r="Z103" s="3">
        <v>0</v>
      </c>
      <c r="AA103" s="3">
        <v>2</v>
      </c>
      <c r="AB103" s="3">
        <v>0</v>
      </c>
      <c r="AC103" s="3">
        <v>1</v>
      </c>
      <c r="AD103" s="3">
        <v>0</v>
      </c>
      <c r="AE103" s="3">
        <v>0</v>
      </c>
      <c r="AF103">
        <v>0</v>
      </c>
      <c r="AG103" s="3">
        <v>0</v>
      </c>
      <c r="AH10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</row>
    <row r="104" spans="1:43" ht="14.5" customHeight="1" x14ac:dyDescent="0.3">
      <c r="A104" s="3" t="s">
        <v>63</v>
      </c>
      <c r="B104" s="3" t="s">
        <v>55</v>
      </c>
      <c r="C104" s="10">
        <v>25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5</v>
      </c>
      <c r="N104" s="3">
        <v>0</v>
      </c>
      <c r="O104" s="3">
        <v>70</v>
      </c>
      <c r="P104" s="3">
        <v>8</v>
      </c>
      <c r="Q104" s="3">
        <v>0</v>
      </c>
      <c r="R104" s="9">
        <v>0</v>
      </c>
      <c r="S104" s="3">
        <v>0</v>
      </c>
      <c r="T104" s="9">
        <v>0</v>
      </c>
      <c r="U104" s="9">
        <v>0</v>
      </c>
      <c r="V104" s="3">
        <v>0</v>
      </c>
      <c r="W104" s="3">
        <v>17</v>
      </c>
      <c r="X104" s="7">
        <f t="shared" si="3"/>
        <v>100</v>
      </c>
      <c r="Y104" s="7"/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>
        <v>0</v>
      </c>
      <c r="AG104" s="3">
        <v>0</v>
      </c>
      <c r="AH104">
        <v>0</v>
      </c>
      <c r="AI104" s="3">
        <v>0</v>
      </c>
      <c r="AJ104" s="3">
        <v>1</v>
      </c>
      <c r="AK104" s="3">
        <v>0</v>
      </c>
      <c r="AL104" s="3">
        <v>1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</row>
    <row r="105" spans="1:43" ht="14.5" customHeight="1" x14ac:dyDescent="0.3">
      <c r="A105" s="3" t="s">
        <v>63</v>
      </c>
      <c r="B105" s="3" t="s">
        <v>55</v>
      </c>
      <c r="C105" s="10">
        <v>26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40</v>
      </c>
      <c r="Q105" s="3">
        <v>0</v>
      </c>
      <c r="R105" s="9">
        <v>60</v>
      </c>
      <c r="S105" s="3">
        <v>0</v>
      </c>
      <c r="T105" s="9">
        <v>0</v>
      </c>
      <c r="U105" s="9">
        <v>0</v>
      </c>
      <c r="V105" s="3">
        <v>0</v>
      </c>
      <c r="W105" s="3">
        <v>0</v>
      </c>
      <c r="X105" s="7">
        <f t="shared" si="3"/>
        <v>100</v>
      </c>
      <c r="Y105" s="7"/>
      <c r="Z105" s="3">
        <v>0</v>
      </c>
      <c r="AA105" s="3">
        <v>0</v>
      </c>
      <c r="AB105" s="3">
        <v>0</v>
      </c>
      <c r="AC105" s="3">
        <v>1</v>
      </c>
      <c r="AD105" s="3">
        <v>0</v>
      </c>
      <c r="AE105" s="3">
        <v>0</v>
      </c>
      <c r="AF105">
        <v>0</v>
      </c>
      <c r="AG105" s="3">
        <v>0</v>
      </c>
      <c r="AH105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</row>
    <row r="106" spans="1:43" ht="14.5" customHeight="1" x14ac:dyDescent="0.3">
      <c r="A106" s="3" t="s">
        <v>63</v>
      </c>
      <c r="B106" s="3" t="s">
        <v>55</v>
      </c>
      <c r="C106" s="10">
        <v>27</v>
      </c>
      <c r="D106" s="3">
        <v>0</v>
      </c>
      <c r="E106" s="3">
        <v>1</v>
      </c>
      <c r="F106" s="3">
        <v>0</v>
      </c>
      <c r="G106" s="3">
        <v>0</v>
      </c>
      <c r="H106" s="3">
        <v>0</v>
      </c>
      <c r="I106" s="3">
        <v>0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>
        <v>40</v>
      </c>
      <c r="P106" s="3">
        <v>5</v>
      </c>
      <c r="Q106" s="3">
        <v>0</v>
      </c>
      <c r="R106" s="9">
        <v>0</v>
      </c>
      <c r="S106" s="3">
        <v>0</v>
      </c>
      <c r="T106" s="9">
        <v>0</v>
      </c>
      <c r="U106" s="9">
        <v>0</v>
      </c>
      <c r="V106" s="3">
        <v>0</v>
      </c>
      <c r="W106" s="3">
        <v>53</v>
      </c>
      <c r="X106" s="7">
        <f t="shared" si="3"/>
        <v>100</v>
      </c>
      <c r="Y106" s="7"/>
      <c r="Z106" s="3">
        <v>0</v>
      </c>
      <c r="AA106" s="3">
        <v>0</v>
      </c>
      <c r="AB106" s="3">
        <v>0</v>
      </c>
      <c r="AC106" s="3">
        <v>1</v>
      </c>
      <c r="AD106" s="3">
        <v>0</v>
      </c>
      <c r="AE106" s="3">
        <v>0</v>
      </c>
      <c r="AF106">
        <v>0</v>
      </c>
      <c r="AG106" s="3">
        <v>0</v>
      </c>
      <c r="AH106">
        <v>0</v>
      </c>
      <c r="AI106" s="3">
        <v>0</v>
      </c>
      <c r="AJ106" s="3">
        <v>1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</row>
    <row r="107" spans="1:43" ht="14.5" customHeight="1" x14ac:dyDescent="0.3">
      <c r="A107" s="3" t="s">
        <v>64</v>
      </c>
      <c r="B107" s="3" t="s">
        <v>55</v>
      </c>
      <c r="C107" s="10">
        <v>28</v>
      </c>
      <c r="D107" s="3">
        <v>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4</v>
      </c>
      <c r="K107" s="3">
        <v>0</v>
      </c>
      <c r="L107" s="3">
        <v>0</v>
      </c>
      <c r="M107" s="3">
        <v>10</v>
      </c>
      <c r="N107" s="3">
        <v>0</v>
      </c>
      <c r="O107" s="3">
        <v>50</v>
      </c>
      <c r="P107" s="3">
        <v>2</v>
      </c>
      <c r="Q107" s="3">
        <v>0</v>
      </c>
      <c r="R107" s="9">
        <v>0</v>
      </c>
      <c r="S107" s="3">
        <v>0</v>
      </c>
      <c r="T107" s="9">
        <v>0</v>
      </c>
      <c r="U107" s="9">
        <v>0</v>
      </c>
      <c r="V107" s="3">
        <v>0</v>
      </c>
      <c r="W107" s="3">
        <v>33</v>
      </c>
      <c r="X107" s="7">
        <f t="shared" si="3"/>
        <v>100</v>
      </c>
      <c r="Y107" s="7"/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>
        <v>1</v>
      </c>
      <c r="AG107" s="3">
        <v>0</v>
      </c>
      <c r="AH107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</row>
    <row r="108" spans="1:43" ht="14.5" customHeight="1" x14ac:dyDescent="0.3">
      <c r="A108" s="3" t="s">
        <v>64</v>
      </c>
      <c r="B108" s="3" t="s">
        <v>55</v>
      </c>
      <c r="C108" s="10">
        <v>29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10</v>
      </c>
      <c r="N108" s="3">
        <v>0</v>
      </c>
      <c r="O108" s="3">
        <v>80</v>
      </c>
      <c r="P108" s="3">
        <v>0</v>
      </c>
      <c r="Q108" s="3">
        <v>0</v>
      </c>
      <c r="R108" s="9">
        <v>0</v>
      </c>
      <c r="S108" s="3">
        <v>5</v>
      </c>
      <c r="T108" s="9">
        <v>8</v>
      </c>
      <c r="U108" s="9">
        <v>0</v>
      </c>
      <c r="V108" s="3">
        <v>0</v>
      </c>
      <c r="W108" s="3">
        <v>2</v>
      </c>
      <c r="X108" s="7">
        <f t="shared" si="3"/>
        <v>105</v>
      </c>
      <c r="Y108" s="7"/>
      <c r="Z108" s="3">
        <v>0</v>
      </c>
      <c r="AA108" s="3">
        <v>0</v>
      </c>
      <c r="AB108" s="3">
        <v>0</v>
      </c>
      <c r="AC108" s="3">
        <v>1</v>
      </c>
      <c r="AD108" s="3">
        <v>0</v>
      </c>
      <c r="AE108" s="3">
        <v>0</v>
      </c>
      <c r="AF108">
        <v>0</v>
      </c>
      <c r="AG108" s="3">
        <v>0</v>
      </c>
      <c r="AH108">
        <v>0</v>
      </c>
      <c r="AI108" s="3">
        <v>1</v>
      </c>
      <c r="AJ108" s="3">
        <v>0</v>
      </c>
      <c r="AK108" s="3">
        <v>5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</row>
    <row r="109" spans="1:43" ht="14.5" customHeight="1" x14ac:dyDescent="0.3">
      <c r="A109" s="3" t="s">
        <v>64</v>
      </c>
      <c r="B109" s="3" t="s">
        <v>55</v>
      </c>
      <c r="C109" s="10">
        <v>30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10</v>
      </c>
      <c r="K109" s="3">
        <v>0</v>
      </c>
      <c r="L109" s="3">
        <v>0</v>
      </c>
      <c r="M109" s="3">
        <v>15</v>
      </c>
      <c r="N109" s="3">
        <v>0</v>
      </c>
      <c r="O109" s="3">
        <v>40</v>
      </c>
      <c r="P109" s="3">
        <v>8</v>
      </c>
      <c r="Q109" s="3">
        <v>0</v>
      </c>
      <c r="R109" s="9">
        <v>0</v>
      </c>
      <c r="S109" s="3">
        <v>0</v>
      </c>
      <c r="T109" s="9">
        <v>0</v>
      </c>
      <c r="U109" s="9">
        <v>0</v>
      </c>
      <c r="V109" s="3">
        <v>0</v>
      </c>
      <c r="W109" s="3">
        <v>27</v>
      </c>
      <c r="X109" s="7">
        <f t="shared" si="3"/>
        <v>100</v>
      </c>
      <c r="Y109" s="7"/>
      <c r="Z109" s="3">
        <v>0</v>
      </c>
      <c r="AA109" s="3">
        <v>0</v>
      </c>
      <c r="AB109" s="3">
        <v>0</v>
      </c>
      <c r="AC109" s="3">
        <v>1</v>
      </c>
      <c r="AD109" s="3">
        <v>0</v>
      </c>
      <c r="AE109" s="3">
        <v>0</v>
      </c>
      <c r="AF109">
        <v>0</v>
      </c>
      <c r="AG109" s="3">
        <v>0</v>
      </c>
      <c r="AH109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</row>
    <row r="110" spans="1:43" ht="14.5" customHeight="1" x14ac:dyDescent="0.3">
      <c r="A110" s="3" t="s">
        <v>65</v>
      </c>
      <c r="B110" s="3" t="s">
        <v>55</v>
      </c>
      <c r="C110" s="10">
        <v>31</v>
      </c>
      <c r="D110" s="3">
        <v>0</v>
      </c>
      <c r="E110" s="3">
        <v>10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30</v>
      </c>
      <c r="N110" s="3">
        <v>0</v>
      </c>
      <c r="O110" s="3">
        <v>0</v>
      </c>
      <c r="P110" s="3">
        <v>10</v>
      </c>
      <c r="Q110" s="3">
        <v>0</v>
      </c>
      <c r="R110" s="9">
        <v>60</v>
      </c>
      <c r="S110" s="3">
        <v>10</v>
      </c>
      <c r="T110" s="9">
        <v>0</v>
      </c>
      <c r="U110" s="9">
        <v>0</v>
      </c>
      <c r="V110" s="3">
        <v>0</v>
      </c>
      <c r="W110" s="3">
        <v>10</v>
      </c>
      <c r="X110" s="7">
        <f t="shared" si="3"/>
        <v>130</v>
      </c>
      <c r="Y110" s="7"/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>
        <v>0</v>
      </c>
      <c r="AG110" s="3">
        <v>0</v>
      </c>
      <c r="AH110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</row>
    <row r="111" spans="1:43" ht="14.5" customHeight="1" x14ac:dyDescent="0.3">
      <c r="A111" s="3" t="s">
        <v>65</v>
      </c>
      <c r="B111" s="3" t="s">
        <v>55</v>
      </c>
      <c r="C111" s="10">
        <v>32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5</v>
      </c>
      <c r="K111" s="3">
        <v>0</v>
      </c>
      <c r="L111" s="3">
        <v>0</v>
      </c>
      <c r="M111" s="3">
        <v>20</v>
      </c>
      <c r="N111" s="3">
        <v>0</v>
      </c>
      <c r="O111" s="3">
        <v>90</v>
      </c>
      <c r="P111" s="3">
        <v>2</v>
      </c>
      <c r="Q111" s="3">
        <v>0</v>
      </c>
      <c r="R111" s="9">
        <v>0</v>
      </c>
      <c r="S111" s="3">
        <v>0</v>
      </c>
      <c r="T111" s="9">
        <v>0</v>
      </c>
      <c r="U111" s="9">
        <v>1</v>
      </c>
      <c r="V111" s="3">
        <v>0</v>
      </c>
      <c r="W111" s="3">
        <v>0</v>
      </c>
      <c r="X111" s="7">
        <f t="shared" si="3"/>
        <v>118</v>
      </c>
      <c r="Y111" s="7"/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>
        <v>0</v>
      </c>
      <c r="AG111" s="3">
        <v>0</v>
      </c>
      <c r="AH111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</row>
    <row r="112" spans="1:43" ht="14.5" customHeight="1" x14ac:dyDescent="0.3">
      <c r="A112" s="3" t="s">
        <v>65</v>
      </c>
      <c r="B112" s="3" t="s">
        <v>55</v>
      </c>
      <c r="C112" s="10">
        <v>33</v>
      </c>
      <c r="D112" s="3">
        <v>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10</v>
      </c>
      <c r="N112" s="3">
        <v>0</v>
      </c>
      <c r="O112" s="3">
        <v>50</v>
      </c>
      <c r="P112" s="3">
        <v>5</v>
      </c>
      <c r="Q112" s="3">
        <v>0</v>
      </c>
      <c r="R112" s="9">
        <v>0</v>
      </c>
      <c r="S112" s="3">
        <v>0</v>
      </c>
      <c r="T112" s="9">
        <v>0</v>
      </c>
      <c r="U112" s="9">
        <v>0</v>
      </c>
      <c r="V112" s="3">
        <v>0</v>
      </c>
      <c r="W112" s="3">
        <v>34</v>
      </c>
      <c r="X112" s="7">
        <f t="shared" si="3"/>
        <v>100</v>
      </c>
      <c r="Y112" s="7"/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>
        <v>0</v>
      </c>
      <c r="AG112" s="3">
        <v>0</v>
      </c>
      <c r="AH112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</row>
    <row r="113" spans="1:43" ht="14.5" customHeight="1" x14ac:dyDescent="0.3">
      <c r="A113" s="3" t="s">
        <v>66</v>
      </c>
      <c r="B113" s="3" t="s">
        <v>55</v>
      </c>
      <c r="C113" s="10">
        <v>34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5</v>
      </c>
      <c r="L113" s="3">
        <v>0</v>
      </c>
      <c r="M113" s="3">
        <v>0</v>
      </c>
      <c r="N113" s="3">
        <v>0</v>
      </c>
      <c r="O113" s="3">
        <v>30</v>
      </c>
      <c r="P113" s="3">
        <v>5</v>
      </c>
      <c r="Q113" s="3">
        <v>0</v>
      </c>
      <c r="R113" s="9">
        <v>0</v>
      </c>
      <c r="S113" s="3">
        <v>0</v>
      </c>
      <c r="T113" s="9">
        <v>0</v>
      </c>
      <c r="U113" s="9">
        <v>0</v>
      </c>
      <c r="V113" s="3">
        <v>0</v>
      </c>
      <c r="W113" s="3">
        <v>60</v>
      </c>
      <c r="X113" s="7">
        <f t="shared" si="3"/>
        <v>100</v>
      </c>
      <c r="Y113" s="7"/>
      <c r="Z113" s="3">
        <v>0</v>
      </c>
      <c r="AA113" s="3">
        <v>1</v>
      </c>
      <c r="AB113" s="3">
        <v>0</v>
      </c>
      <c r="AC113" s="3">
        <v>0</v>
      </c>
      <c r="AD113" s="3">
        <v>0</v>
      </c>
      <c r="AE113" s="3">
        <v>0</v>
      </c>
      <c r="AF113">
        <v>0</v>
      </c>
      <c r="AG113" s="3">
        <v>0</v>
      </c>
      <c r="AH113">
        <v>0</v>
      </c>
      <c r="AI113" s="3">
        <v>1</v>
      </c>
      <c r="AJ113" s="3">
        <v>1</v>
      </c>
      <c r="AK113" s="3">
        <v>0</v>
      </c>
      <c r="AL11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</row>
    <row r="114" spans="1:43" ht="14.5" customHeight="1" x14ac:dyDescent="0.3">
      <c r="A114" s="3" t="s">
        <v>66</v>
      </c>
      <c r="B114" s="3" t="s">
        <v>55</v>
      </c>
      <c r="C114" s="10">
        <v>35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2</v>
      </c>
      <c r="K114" s="3">
        <v>10</v>
      </c>
      <c r="L114" s="3">
        <v>0</v>
      </c>
      <c r="M114" s="3">
        <v>0</v>
      </c>
      <c r="N114" s="3">
        <v>0</v>
      </c>
      <c r="O114" s="3">
        <v>70</v>
      </c>
      <c r="P114" s="3">
        <v>5</v>
      </c>
      <c r="Q114" s="3">
        <v>0</v>
      </c>
      <c r="R114" s="9">
        <v>0</v>
      </c>
      <c r="S114" s="3">
        <v>0</v>
      </c>
      <c r="T114" s="9">
        <v>0</v>
      </c>
      <c r="U114" s="9">
        <v>0</v>
      </c>
      <c r="V114" s="3">
        <v>0</v>
      </c>
      <c r="W114" s="3">
        <v>15</v>
      </c>
      <c r="X114" s="7">
        <f t="shared" si="3"/>
        <v>102</v>
      </c>
      <c r="Y114" s="7"/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>
        <v>0</v>
      </c>
      <c r="AG114" s="3">
        <v>0</v>
      </c>
      <c r="AH114">
        <v>0</v>
      </c>
      <c r="AI114" s="3">
        <v>0</v>
      </c>
      <c r="AJ114" s="3">
        <v>0</v>
      </c>
      <c r="AK114" s="3">
        <v>0</v>
      </c>
      <c r="AL114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</row>
    <row r="115" spans="1:43" ht="14.5" customHeight="1" x14ac:dyDescent="0.3">
      <c r="A115" s="3" t="s">
        <v>66</v>
      </c>
      <c r="B115" s="3" t="s">
        <v>55</v>
      </c>
      <c r="C115" s="10">
        <v>36</v>
      </c>
      <c r="D115" s="3">
        <v>0</v>
      </c>
      <c r="E115" s="3">
        <v>10</v>
      </c>
      <c r="F115" s="3">
        <v>0</v>
      </c>
      <c r="G115" s="3">
        <v>0</v>
      </c>
      <c r="H115" s="3">
        <v>0</v>
      </c>
      <c r="I115" s="3">
        <v>0</v>
      </c>
      <c r="J115" s="3">
        <v>25</v>
      </c>
      <c r="K115" s="3">
        <v>20</v>
      </c>
      <c r="L115" s="3">
        <v>0</v>
      </c>
      <c r="M115" s="3">
        <v>0</v>
      </c>
      <c r="N115" s="3">
        <v>0</v>
      </c>
      <c r="O115" s="3">
        <v>30</v>
      </c>
      <c r="P115" s="3">
        <v>5</v>
      </c>
      <c r="Q115" s="3">
        <v>0</v>
      </c>
      <c r="R115" s="9">
        <v>0</v>
      </c>
      <c r="S115" s="3">
        <v>0</v>
      </c>
      <c r="T115" s="9">
        <v>0</v>
      </c>
      <c r="U115" s="9">
        <v>0</v>
      </c>
      <c r="V115" s="3">
        <v>0</v>
      </c>
      <c r="W115" s="3">
        <v>15</v>
      </c>
      <c r="X115" s="7">
        <f t="shared" si="3"/>
        <v>105</v>
      </c>
      <c r="Y115" s="7"/>
      <c r="Z115" s="3">
        <v>0</v>
      </c>
      <c r="AA115" s="3">
        <v>1</v>
      </c>
      <c r="AB115" s="3">
        <v>0</v>
      </c>
      <c r="AC115" s="3">
        <v>0</v>
      </c>
      <c r="AD115" s="3">
        <v>0</v>
      </c>
      <c r="AE115" s="3">
        <v>0</v>
      </c>
      <c r="AF115">
        <v>0</v>
      </c>
      <c r="AG115" s="3">
        <v>0</v>
      </c>
      <c r="AH115">
        <v>0</v>
      </c>
      <c r="AI115" s="3">
        <v>0</v>
      </c>
      <c r="AJ115" s="3">
        <v>0</v>
      </c>
      <c r="AK115" s="3">
        <v>0</v>
      </c>
      <c r="AL115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</row>
    <row r="116" spans="1:43" ht="14.5" customHeight="1" x14ac:dyDescent="0.3">
      <c r="A116" s="3" t="s">
        <v>67</v>
      </c>
      <c r="B116" s="3" t="s">
        <v>55</v>
      </c>
      <c r="C116" s="10">
        <v>37</v>
      </c>
      <c r="D116" s="3">
        <v>1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60</v>
      </c>
      <c r="P116" s="3">
        <v>1</v>
      </c>
      <c r="Q116" s="3">
        <v>0</v>
      </c>
      <c r="R116" s="9">
        <v>10</v>
      </c>
      <c r="S116" s="3">
        <v>0</v>
      </c>
      <c r="T116" s="9">
        <v>0</v>
      </c>
      <c r="U116" s="9">
        <v>0</v>
      </c>
      <c r="V116" s="3">
        <v>0</v>
      </c>
      <c r="W116" s="3">
        <v>30</v>
      </c>
      <c r="X116" s="7">
        <f t="shared" si="3"/>
        <v>102</v>
      </c>
      <c r="Y116" s="7"/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>
        <v>0</v>
      </c>
      <c r="AG116" s="3">
        <v>0</v>
      </c>
      <c r="AH116">
        <v>0</v>
      </c>
      <c r="AI116" s="3">
        <v>0</v>
      </c>
      <c r="AJ116" s="3">
        <v>4</v>
      </c>
      <c r="AK116" s="3">
        <v>0</v>
      </c>
      <c r="AL116">
        <v>0</v>
      </c>
      <c r="AM116" s="3">
        <v>0</v>
      </c>
      <c r="AN116" s="3">
        <v>0</v>
      </c>
      <c r="AO116" s="3">
        <v>1</v>
      </c>
      <c r="AP116" s="3">
        <v>0</v>
      </c>
      <c r="AQ116" s="3">
        <v>0</v>
      </c>
    </row>
    <row r="117" spans="1:43" ht="14.5" customHeight="1" x14ac:dyDescent="0.3">
      <c r="A117" s="3" t="s">
        <v>67</v>
      </c>
      <c r="B117" s="3" t="s">
        <v>55</v>
      </c>
      <c r="C117" s="10">
        <v>38</v>
      </c>
      <c r="D117" s="3">
        <v>0</v>
      </c>
      <c r="E117" s="3">
        <v>2</v>
      </c>
      <c r="F117" s="3">
        <v>0</v>
      </c>
      <c r="G117" s="3">
        <v>0</v>
      </c>
      <c r="H117" s="3">
        <v>0</v>
      </c>
      <c r="I117" s="3">
        <v>0</v>
      </c>
      <c r="J117" s="3">
        <v>5</v>
      </c>
      <c r="K117" s="3">
        <v>10</v>
      </c>
      <c r="L117" s="3">
        <v>0</v>
      </c>
      <c r="M117" s="3">
        <v>0</v>
      </c>
      <c r="N117" s="3">
        <v>0</v>
      </c>
      <c r="O117" s="3">
        <v>50</v>
      </c>
      <c r="P117" s="3">
        <v>5</v>
      </c>
      <c r="Q117" s="3">
        <v>0</v>
      </c>
      <c r="R117" s="9">
        <v>0</v>
      </c>
      <c r="S117" s="3">
        <v>0</v>
      </c>
      <c r="T117" s="9">
        <v>0</v>
      </c>
      <c r="U117" s="9">
        <v>0</v>
      </c>
      <c r="V117" s="3">
        <v>0</v>
      </c>
      <c r="W117" s="3">
        <v>30</v>
      </c>
      <c r="X117" s="7">
        <f t="shared" si="3"/>
        <v>102</v>
      </c>
      <c r="Y117" s="7"/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>
        <v>0</v>
      </c>
      <c r="AG117" s="3">
        <v>0</v>
      </c>
      <c r="AH117">
        <v>0</v>
      </c>
      <c r="AI117" s="3">
        <v>0</v>
      </c>
      <c r="AJ117" s="3">
        <v>0</v>
      </c>
      <c r="AK117" s="3">
        <v>0</v>
      </c>
      <c r="AL117">
        <v>0</v>
      </c>
      <c r="AM117" s="3">
        <v>0</v>
      </c>
      <c r="AN117" s="3">
        <v>0</v>
      </c>
      <c r="AO117" s="3">
        <v>0</v>
      </c>
      <c r="AP117" s="3">
        <v>1</v>
      </c>
      <c r="AQ117" s="3">
        <v>0</v>
      </c>
    </row>
    <row r="118" spans="1:43" ht="14.5" customHeight="1" x14ac:dyDescent="0.3">
      <c r="A118" s="3" t="s">
        <v>67</v>
      </c>
      <c r="B118" s="3" t="s">
        <v>55</v>
      </c>
      <c r="C118" s="10">
        <v>39</v>
      </c>
      <c r="D118" s="3">
        <v>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15</v>
      </c>
      <c r="K118" s="3">
        <v>5</v>
      </c>
      <c r="L118" s="3">
        <v>0</v>
      </c>
      <c r="M118" s="3">
        <v>0</v>
      </c>
      <c r="N118" s="3">
        <v>0</v>
      </c>
      <c r="O118" s="3">
        <v>30</v>
      </c>
      <c r="P118" s="3">
        <v>5</v>
      </c>
      <c r="Q118" s="3">
        <v>0</v>
      </c>
      <c r="R118" s="9">
        <v>0</v>
      </c>
      <c r="S118" s="3">
        <v>0</v>
      </c>
      <c r="T118" s="9">
        <v>0</v>
      </c>
      <c r="U118" s="9">
        <v>0</v>
      </c>
      <c r="V118" s="3">
        <v>0</v>
      </c>
      <c r="W118" s="3">
        <v>45</v>
      </c>
      <c r="X118" s="7">
        <f t="shared" si="3"/>
        <v>101</v>
      </c>
      <c r="Y118" s="7"/>
      <c r="Z118" s="3">
        <v>0</v>
      </c>
      <c r="AA118" s="3">
        <v>1</v>
      </c>
      <c r="AB118" s="3">
        <v>0</v>
      </c>
      <c r="AC118" s="3">
        <v>0</v>
      </c>
      <c r="AD118" s="3">
        <v>0</v>
      </c>
      <c r="AE118" s="3">
        <v>0</v>
      </c>
      <c r="AF118">
        <v>0</v>
      </c>
      <c r="AG118" s="3">
        <v>0</v>
      </c>
      <c r="AH118">
        <v>0</v>
      </c>
      <c r="AI118" s="3">
        <v>0</v>
      </c>
      <c r="AJ118" s="3">
        <v>0</v>
      </c>
      <c r="AK118" s="3">
        <v>0</v>
      </c>
      <c r="AL118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</row>
    <row r="119" spans="1:43" ht="12.5" x14ac:dyDescent="0.25">
      <c r="X119" s="3"/>
      <c r="Y119" s="3"/>
      <c r="AF119" s="3"/>
      <c r="AH119" s="3"/>
    </row>
    <row r="120" spans="1:43" ht="13" x14ac:dyDescent="0.3">
      <c r="R120" s="9"/>
      <c r="T120" s="9"/>
      <c r="U120" s="9"/>
      <c r="X120" s="7"/>
      <c r="Y120" s="7"/>
    </row>
    <row r="121" spans="1:43" ht="13" x14ac:dyDescent="0.3">
      <c r="R121" s="9"/>
      <c r="T121" s="9"/>
      <c r="U121" s="9"/>
      <c r="X121" s="7"/>
      <c r="Y121" s="7"/>
    </row>
    <row r="122" spans="1:43" ht="13" x14ac:dyDescent="0.3">
      <c r="R122" s="9"/>
      <c r="T122" s="9"/>
      <c r="U122" s="9"/>
      <c r="X122" s="7"/>
      <c r="Y122" s="7"/>
    </row>
    <row r="123" spans="1:43" ht="13" x14ac:dyDescent="0.3">
      <c r="R123" s="9"/>
      <c r="T123" s="9"/>
      <c r="U123" s="9"/>
      <c r="X123" s="7"/>
      <c r="Y123" s="7"/>
    </row>
    <row r="124" spans="1:43" ht="13" x14ac:dyDescent="0.3">
      <c r="R124" s="9"/>
      <c r="T124" s="9"/>
      <c r="U124" s="9"/>
      <c r="X124" s="7"/>
      <c r="Y124" s="7"/>
    </row>
    <row r="125" spans="1:43" ht="13" x14ac:dyDescent="0.3">
      <c r="R125" s="9"/>
      <c r="T125" s="9"/>
      <c r="U125" s="9"/>
      <c r="X125" s="7"/>
      <c r="Y125" s="7"/>
    </row>
    <row r="126" spans="1:43" ht="13" x14ac:dyDescent="0.3">
      <c r="R126" s="9"/>
      <c r="T126" s="9"/>
      <c r="U126" s="9"/>
      <c r="X126" s="7"/>
      <c r="Y126" s="7"/>
    </row>
    <row r="127" spans="1:43" ht="13" x14ac:dyDescent="0.3">
      <c r="R127" s="9"/>
      <c r="T127" s="9"/>
      <c r="U127" s="9"/>
      <c r="X127" s="7"/>
      <c r="Y127" s="7"/>
    </row>
    <row r="128" spans="1:43" ht="13" x14ac:dyDescent="0.3">
      <c r="R128" s="9"/>
      <c r="T128" s="9"/>
      <c r="U128" s="9"/>
      <c r="X128" s="7"/>
      <c r="Y128" s="7"/>
    </row>
    <row r="129" spans="18:25" ht="13" x14ac:dyDescent="0.3">
      <c r="R129" s="9"/>
      <c r="T129" s="9"/>
      <c r="U129" s="9"/>
      <c r="X129" s="7"/>
      <c r="Y129" s="7"/>
    </row>
    <row r="130" spans="18:25" ht="13" x14ac:dyDescent="0.3">
      <c r="R130" s="9"/>
      <c r="T130" s="9"/>
      <c r="U130" s="9"/>
      <c r="X130" s="7"/>
      <c r="Y130" s="7"/>
    </row>
    <row r="131" spans="18:25" ht="13" x14ac:dyDescent="0.3">
      <c r="R131" s="9"/>
      <c r="T131" s="9"/>
      <c r="U131" s="9"/>
      <c r="X131" s="7"/>
      <c r="Y131" s="7"/>
    </row>
    <row r="132" spans="18:25" ht="13" x14ac:dyDescent="0.3">
      <c r="R132" s="9"/>
      <c r="T132" s="9"/>
      <c r="U132" s="9"/>
      <c r="X132" s="7"/>
      <c r="Y132" s="7"/>
    </row>
    <row r="133" spans="18:25" ht="13" x14ac:dyDescent="0.3">
      <c r="R133" s="9"/>
      <c r="T133" s="9"/>
      <c r="U133" s="9"/>
      <c r="X133" s="7"/>
      <c r="Y133" s="7"/>
    </row>
    <row r="134" spans="18:25" ht="13" x14ac:dyDescent="0.3">
      <c r="R134" s="9"/>
      <c r="T134" s="9"/>
      <c r="U134" s="9"/>
      <c r="X134" s="7"/>
      <c r="Y134" s="7"/>
    </row>
    <row r="135" spans="18:25" ht="13" x14ac:dyDescent="0.3">
      <c r="R135" s="9"/>
      <c r="T135" s="9"/>
      <c r="U135" s="9"/>
      <c r="X135" s="7"/>
      <c r="Y135" s="7"/>
    </row>
    <row r="136" spans="18:25" ht="13" x14ac:dyDescent="0.3">
      <c r="R136" s="9"/>
      <c r="T136" s="9"/>
      <c r="U136" s="9"/>
      <c r="X136" s="7"/>
      <c r="Y136" s="7"/>
    </row>
    <row r="137" spans="18:25" ht="13" x14ac:dyDescent="0.3">
      <c r="R137" s="9"/>
      <c r="T137" s="9"/>
      <c r="U137" s="9"/>
      <c r="X137" s="7"/>
      <c r="Y137" s="7"/>
    </row>
    <row r="138" spans="18:25" ht="13" x14ac:dyDescent="0.3">
      <c r="R138" s="9"/>
      <c r="T138" s="9"/>
      <c r="U138" s="9"/>
      <c r="X138" s="7"/>
      <c r="Y138" s="7"/>
    </row>
    <row r="139" spans="18:25" ht="13" x14ac:dyDescent="0.3">
      <c r="R139" s="9"/>
      <c r="T139" s="9"/>
      <c r="U139" s="9"/>
      <c r="X139" s="7"/>
      <c r="Y139" s="7"/>
    </row>
    <row r="140" spans="18:25" ht="13" x14ac:dyDescent="0.3">
      <c r="R140" s="9"/>
      <c r="T140" s="9"/>
      <c r="U140" s="9"/>
      <c r="X140" s="7"/>
      <c r="Y140" s="7"/>
    </row>
    <row r="141" spans="18:25" ht="13" x14ac:dyDescent="0.3">
      <c r="R141" s="9"/>
      <c r="T141" s="9"/>
      <c r="U141" s="9"/>
      <c r="X141" s="7"/>
      <c r="Y141" s="7"/>
    </row>
    <row r="142" spans="18:25" ht="13" x14ac:dyDescent="0.3">
      <c r="R142" s="9"/>
      <c r="T142" s="9"/>
      <c r="U142" s="9"/>
      <c r="X142" s="7"/>
      <c r="Y142" s="7"/>
    </row>
    <row r="143" spans="18:25" ht="13" x14ac:dyDescent="0.3">
      <c r="R143" s="9"/>
      <c r="T143" s="9"/>
      <c r="U143" s="9"/>
      <c r="X143" s="7"/>
      <c r="Y143" s="7"/>
    </row>
    <row r="144" spans="18:25" ht="13" x14ac:dyDescent="0.3">
      <c r="R144" s="9"/>
      <c r="T144" s="9"/>
      <c r="U144" s="9"/>
      <c r="X144" s="7"/>
      <c r="Y144" s="7"/>
    </row>
    <row r="145" spans="18:25" ht="13" x14ac:dyDescent="0.3">
      <c r="R145" s="9"/>
      <c r="T145" s="9"/>
      <c r="U145" s="9"/>
      <c r="X145" s="7"/>
      <c r="Y145" s="7"/>
    </row>
    <row r="146" spans="18:25" ht="13" x14ac:dyDescent="0.3">
      <c r="R146" s="9"/>
      <c r="T146" s="9"/>
      <c r="U146" s="9"/>
      <c r="X146" s="7"/>
      <c r="Y146" s="7"/>
    </row>
    <row r="147" spans="18:25" ht="13" x14ac:dyDescent="0.3">
      <c r="R147" s="9"/>
      <c r="T147" s="9"/>
      <c r="U147" s="9"/>
      <c r="X147" s="7"/>
      <c r="Y147" s="7"/>
    </row>
    <row r="148" spans="18:25" ht="13" x14ac:dyDescent="0.3">
      <c r="R148" s="9"/>
      <c r="T148" s="9"/>
      <c r="U148" s="9"/>
      <c r="X148" s="7"/>
      <c r="Y148" s="7"/>
    </row>
    <row r="149" spans="18:25" ht="13" x14ac:dyDescent="0.3">
      <c r="R149" s="9"/>
      <c r="T149" s="9"/>
      <c r="U149" s="9"/>
      <c r="X149" s="7"/>
      <c r="Y149" s="7"/>
    </row>
    <row r="150" spans="18:25" ht="13" x14ac:dyDescent="0.3">
      <c r="R150" s="9"/>
      <c r="T150" s="9"/>
      <c r="U150" s="9"/>
      <c r="X150" s="7"/>
      <c r="Y150" s="7"/>
    </row>
    <row r="151" spans="18:25" ht="13" x14ac:dyDescent="0.3">
      <c r="R151" s="9"/>
      <c r="T151" s="9"/>
      <c r="U151" s="9"/>
      <c r="X151" s="7"/>
      <c r="Y151" s="7"/>
    </row>
    <row r="152" spans="18:25" ht="13" x14ac:dyDescent="0.3">
      <c r="R152" s="9"/>
      <c r="T152" s="9"/>
      <c r="U152" s="9"/>
      <c r="X152" s="7"/>
      <c r="Y152" s="7"/>
    </row>
    <row r="153" spans="18:25" ht="13" x14ac:dyDescent="0.3">
      <c r="R153" s="9"/>
      <c r="T153" s="9"/>
      <c r="U153" s="9"/>
      <c r="X153" s="7"/>
      <c r="Y153" s="7"/>
    </row>
    <row r="154" spans="18:25" ht="13" x14ac:dyDescent="0.3">
      <c r="R154" s="9"/>
      <c r="T154" s="9"/>
      <c r="U154" s="9"/>
      <c r="X154" s="7"/>
      <c r="Y154" s="7"/>
    </row>
    <row r="155" spans="18:25" ht="13" x14ac:dyDescent="0.3">
      <c r="R155" s="9"/>
      <c r="T155" s="9"/>
      <c r="U155" s="9"/>
      <c r="X155" s="7"/>
      <c r="Y155" s="7"/>
    </row>
    <row r="156" spans="18:25" ht="13" x14ac:dyDescent="0.3">
      <c r="R156" s="9"/>
      <c r="T156" s="9"/>
      <c r="U156" s="9"/>
      <c r="X156" s="7"/>
      <c r="Y156" s="7"/>
    </row>
    <row r="157" spans="18:25" ht="13" x14ac:dyDescent="0.3">
      <c r="R157" s="9"/>
      <c r="T157" s="9"/>
      <c r="U157" s="9"/>
      <c r="X157" s="7"/>
      <c r="Y157" s="7"/>
    </row>
    <row r="158" spans="18:25" ht="13" x14ac:dyDescent="0.3">
      <c r="R158" s="9"/>
      <c r="T158" s="9"/>
      <c r="U158" s="9"/>
      <c r="X158" s="7"/>
      <c r="Y158" s="7"/>
    </row>
    <row r="159" spans="18:25" ht="13" x14ac:dyDescent="0.3">
      <c r="R159" s="9"/>
      <c r="T159" s="9"/>
      <c r="U159" s="9"/>
      <c r="X159" s="7"/>
      <c r="Y159" s="7"/>
    </row>
    <row r="160" spans="18:25" ht="13" x14ac:dyDescent="0.3">
      <c r="R160" s="9"/>
      <c r="T160" s="9"/>
      <c r="U160" s="9"/>
      <c r="X160" s="7"/>
      <c r="Y160" s="7"/>
    </row>
    <row r="161" spans="18:25" ht="13" x14ac:dyDescent="0.3">
      <c r="R161" s="9"/>
      <c r="T161" s="9"/>
      <c r="U161" s="9"/>
      <c r="X161" s="7"/>
      <c r="Y161" s="7"/>
    </row>
    <row r="162" spans="18:25" ht="13" x14ac:dyDescent="0.3">
      <c r="R162" s="9"/>
      <c r="T162" s="9"/>
      <c r="U162" s="9"/>
      <c r="X162" s="7"/>
      <c r="Y162" s="7"/>
    </row>
    <row r="163" spans="18:25" ht="13" x14ac:dyDescent="0.3">
      <c r="R163" s="9"/>
      <c r="T163" s="9"/>
      <c r="U163" s="9"/>
      <c r="X163" s="7"/>
      <c r="Y163" s="7"/>
    </row>
    <row r="164" spans="18:25" ht="13" x14ac:dyDescent="0.3">
      <c r="R164" s="9"/>
      <c r="T164" s="9"/>
      <c r="U164" s="9"/>
      <c r="X164" s="7"/>
      <c r="Y164" s="7"/>
    </row>
    <row r="165" spans="18:25" ht="13" x14ac:dyDescent="0.3">
      <c r="R165" s="9"/>
      <c r="T165" s="9"/>
      <c r="U165" s="9"/>
      <c r="X165" s="7"/>
      <c r="Y165" s="7"/>
    </row>
    <row r="166" spans="18:25" ht="13" x14ac:dyDescent="0.3">
      <c r="R166" s="9"/>
      <c r="T166" s="9"/>
      <c r="U166" s="9"/>
      <c r="X166" s="7"/>
      <c r="Y166" s="7"/>
    </row>
    <row r="167" spans="18:25" ht="13" x14ac:dyDescent="0.3">
      <c r="R167" s="9"/>
      <c r="T167" s="9"/>
      <c r="U167" s="9"/>
      <c r="X167" s="7"/>
      <c r="Y167" s="7"/>
    </row>
    <row r="168" spans="18:25" ht="13" x14ac:dyDescent="0.3">
      <c r="R168" s="9"/>
      <c r="T168" s="9"/>
      <c r="U168" s="9"/>
      <c r="X168" s="7"/>
      <c r="Y168" s="7"/>
    </row>
    <row r="169" spans="18:25" ht="13" x14ac:dyDescent="0.3">
      <c r="R169" s="9"/>
      <c r="T169" s="9"/>
      <c r="U169" s="9"/>
      <c r="X169" s="7"/>
      <c r="Y169" s="7"/>
    </row>
    <row r="170" spans="18:25" ht="13" x14ac:dyDescent="0.3">
      <c r="R170" s="9"/>
      <c r="T170" s="9"/>
      <c r="U170" s="9"/>
      <c r="X170" s="7"/>
      <c r="Y170" s="7"/>
    </row>
    <row r="171" spans="18:25" ht="13" x14ac:dyDescent="0.3">
      <c r="R171" s="9"/>
      <c r="T171" s="9"/>
      <c r="U171" s="9"/>
      <c r="X171" s="7"/>
      <c r="Y171" s="7"/>
    </row>
    <row r="172" spans="18:25" ht="13" x14ac:dyDescent="0.3">
      <c r="R172" s="9"/>
      <c r="T172" s="9"/>
      <c r="U172" s="9"/>
      <c r="X172" s="7"/>
      <c r="Y172" s="7"/>
    </row>
    <row r="173" spans="18:25" ht="13" x14ac:dyDescent="0.3">
      <c r="R173" s="9"/>
      <c r="T173" s="9"/>
      <c r="U173" s="9"/>
      <c r="X173" s="7"/>
      <c r="Y173" s="7"/>
    </row>
    <row r="174" spans="18:25" ht="13" x14ac:dyDescent="0.3">
      <c r="R174" s="9"/>
      <c r="T174" s="9"/>
      <c r="U174" s="9"/>
      <c r="X174" s="7"/>
      <c r="Y174" s="7"/>
    </row>
    <row r="175" spans="18:25" ht="13" x14ac:dyDescent="0.3">
      <c r="R175" s="9"/>
      <c r="T175" s="9"/>
      <c r="U175" s="9"/>
      <c r="X175" s="7"/>
      <c r="Y175" s="7"/>
    </row>
    <row r="176" spans="18:25" ht="13" x14ac:dyDescent="0.3">
      <c r="R176" s="9"/>
      <c r="T176" s="9"/>
      <c r="U176" s="9"/>
      <c r="X176" s="7"/>
      <c r="Y176" s="7"/>
    </row>
    <row r="177" spans="18:25" ht="13" x14ac:dyDescent="0.3">
      <c r="R177" s="9"/>
      <c r="T177" s="9"/>
      <c r="U177" s="9"/>
      <c r="X177" s="7"/>
      <c r="Y177" s="7"/>
    </row>
    <row r="178" spans="18:25" ht="13" x14ac:dyDescent="0.3">
      <c r="R178" s="9"/>
      <c r="T178" s="9"/>
      <c r="U178" s="9"/>
      <c r="X178" s="7"/>
      <c r="Y178" s="7"/>
    </row>
    <row r="179" spans="18:25" ht="13" x14ac:dyDescent="0.3">
      <c r="R179" s="9"/>
      <c r="T179" s="9"/>
      <c r="U179" s="9"/>
      <c r="X179" s="7"/>
      <c r="Y179" s="7"/>
    </row>
    <row r="180" spans="18:25" ht="13" x14ac:dyDescent="0.3">
      <c r="R180" s="9"/>
      <c r="T180" s="9"/>
      <c r="U180" s="9"/>
      <c r="X180" s="7"/>
      <c r="Y180" s="7"/>
    </row>
    <row r="181" spans="18:25" ht="13" x14ac:dyDescent="0.3">
      <c r="R181" s="9"/>
      <c r="T181" s="9"/>
      <c r="U181" s="9"/>
      <c r="X181" s="7"/>
      <c r="Y181" s="7"/>
    </row>
    <row r="182" spans="18:25" ht="13" x14ac:dyDescent="0.3">
      <c r="R182" s="9"/>
      <c r="T182" s="9"/>
      <c r="U182" s="9"/>
      <c r="X182" s="7"/>
      <c r="Y182" s="7"/>
    </row>
    <row r="183" spans="18:25" ht="13" x14ac:dyDescent="0.3">
      <c r="R183" s="9"/>
      <c r="T183" s="9"/>
      <c r="U183" s="9"/>
      <c r="X183" s="7"/>
      <c r="Y183" s="7"/>
    </row>
    <row r="184" spans="18:25" ht="13" x14ac:dyDescent="0.3">
      <c r="R184" s="9"/>
      <c r="T184" s="9"/>
      <c r="U184" s="9"/>
      <c r="X184" s="7"/>
      <c r="Y184" s="7"/>
    </row>
    <row r="185" spans="18:25" ht="13" x14ac:dyDescent="0.3">
      <c r="R185" s="9"/>
      <c r="T185" s="9"/>
      <c r="U185" s="9"/>
      <c r="X185" s="7"/>
      <c r="Y185" s="7"/>
    </row>
    <row r="186" spans="18:25" ht="13" x14ac:dyDescent="0.3">
      <c r="R186" s="9"/>
      <c r="T186" s="9"/>
      <c r="U186" s="9"/>
      <c r="X186" s="7"/>
      <c r="Y186" s="7"/>
    </row>
    <row r="187" spans="18:25" ht="13" x14ac:dyDescent="0.3">
      <c r="R187" s="9"/>
      <c r="T187" s="9"/>
      <c r="U187" s="9"/>
      <c r="X187" s="7"/>
      <c r="Y187" s="7"/>
    </row>
    <row r="188" spans="18:25" ht="13" x14ac:dyDescent="0.3">
      <c r="R188" s="9"/>
      <c r="T188" s="9"/>
      <c r="U188" s="9"/>
      <c r="X188" s="7"/>
      <c r="Y188" s="7"/>
    </row>
    <row r="189" spans="18:25" ht="13" x14ac:dyDescent="0.3">
      <c r="R189" s="9"/>
      <c r="T189" s="9"/>
      <c r="U189" s="9"/>
      <c r="X189" s="7"/>
      <c r="Y189" s="7"/>
    </row>
    <row r="190" spans="18:25" ht="13" x14ac:dyDescent="0.3">
      <c r="R190" s="9"/>
      <c r="T190" s="9"/>
      <c r="U190" s="9"/>
      <c r="X190" s="7"/>
      <c r="Y190" s="7"/>
    </row>
    <row r="191" spans="18:25" ht="13" x14ac:dyDescent="0.3">
      <c r="R191" s="9"/>
      <c r="T191" s="9"/>
      <c r="U191" s="9"/>
      <c r="X191" s="7"/>
      <c r="Y191" s="7"/>
    </row>
    <row r="192" spans="18:25" ht="13" x14ac:dyDescent="0.3">
      <c r="R192" s="9"/>
      <c r="T192" s="9"/>
      <c r="U192" s="9"/>
      <c r="X192" s="7"/>
      <c r="Y192" s="7"/>
    </row>
    <row r="193" spans="18:25" ht="13" x14ac:dyDescent="0.3">
      <c r="R193" s="9"/>
      <c r="T193" s="9"/>
      <c r="U193" s="9"/>
      <c r="X193" s="7"/>
      <c r="Y193" s="7"/>
    </row>
    <row r="194" spans="18:25" ht="13" x14ac:dyDescent="0.3">
      <c r="R194" s="9"/>
      <c r="T194" s="9"/>
      <c r="U194" s="9"/>
      <c r="X194" s="7"/>
      <c r="Y194" s="7"/>
    </row>
    <row r="195" spans="18:25" ht="13" x14ac:dyDescent="0.3">
      <c r="R195" s="9"/>
      <c r="T195" s="9"/>
      <c r="U195" s="9"/>
      <c r="X195" s="7"/>
      <c r="Y195" s="7"/>
    </row>
    <row r="196" spans="18:25" ht="13" x14ac:dyDescent="0.3">
      <c r="R196" s="9"/>
      <c r="T196" s="9"/>
      <c r="U196" s="9"/>
      <c r="X196" s="7"/>
      <c r="Y196" s="7"/>
    </row>
    <row r="197" spans="18:25" ht="13" x14ac:dyDescent="0.3">
      <c r="R197" s="9"/>
      <c r="T197" s="9"/>
      <c r="U197" s="9"/>
      <c r="X197" s="7"/>
      <c r="Y197" s="7"/>
    </row>
    <row r="198" spans="18:25" ht="13" x14ac:dyDescent="0.3">
      <c r="R198" s="9"/>
      <c r="T198" s="9"/>
      <c r="U198" s="9"/>
      <c r="X198" s="7"/>
      <c r="Y198" s="7"/>
    </row>
    <row r="199" spans="18:25" ht="13" x14ac:dyDescent="0.3">
      <c r="R199" s="9"/>
      <c r="T199" s="9"/>
      <c r="U199" s="9"/>
      <c r="X199" s="7"/>
      <c r="Y199" s="7"/>
    </row>
    <row r="200" spans="18:25" ht="13" x14ac:dyDescent="0.3">
      <c r="R200" s="9"/>
      <c r="T200" s="9"/>
      <c r="U200" s="9"/>
      <c r="X200" s="7"/>
      <c r="Y200" s="7"/>
    </row>
    <row r="201" spans="18:25" ht="13" x14ac:dyDescent="0.3">
      <c r="R201" s="9"/>
      <c r="T201" s="9"/>
      <c r="U201" s="9"/>
      <c r="X201" s="7"/>
      <c r="Y201" s="7"/>
    </row>
    <row r="202" spans="18:25" ht="13" x14ac:dyDescent="0.3">
      <c r="R202" s="9"/>
      <c r="T202" s="9"/>
      <c r="U202" s="9"/>
      <c r="X202" s="7"/>
      <c r="Y202" s="7"/>
    </row>
    <row r="203" spans="18:25" ht="13" x14ac:dyDescent="0.3">
      <c r="R203" s="9"/>
      <c r="T203" s="9"/>
      <c r="U203" s="9"/>
      <c r="X203" s="7"/>
      <c r="Y203" s="7"/>
    </row>
    <row r="204" spans="18:25" ht="13" x14ac:dyDescent="0.3">
      <c r="R204" s="9"/>
      <c r="T204" s="9"/>
      <c r="U204" s="9"/>
      <c r="X204" s="7"/>
      <c r="Y204" s="7"/>
    </row>
    <row r="205" spans="18:25" ht="13" x14ac:dyDescent="0.3">
      <c r="R205" s="9"/>
      <c r="T205" s="9"/>
      <c r="U205" s="9"/>
      <c r="X205" s="7"/>
      <c r="Y205" s="7"/>
    </row>
    <row r="206" spans="18:25" ht="13" x14ac:dyDescent="0.3">
      <c r="R206" s="9"/>
      <c r="T206" s="9"/>
      <c r="U206" s="9"/>
      <c r="X206" s="7"/>
      <c r="Y206" s="7"/>
    </row>
    <row r="207" spans="18:25" ht="13" x14ac:dyDescent="0.3">
      <c r="R207" s="9"/>
      <c r="T207" s="9"/>
      <c r="U207" s="9"/>
      <c r="X207" s="7"/>
      <c r="Y207" s="7"/>
    </row>
    <row r="208" spans="18:25" ht="13" x14ac:dyDescent="0.3">
      <c r="R208" s="9"/>
      <c r="T208" s="9"/>
      <c r="U208" s="9"/>
      <c r="X208" s="7"/>
      <c r="Y208" s="7"/>
    </row>
    <row r="209" spans="18:25" ht="13" x14ac:dyDescent="0.3">
      <c r="R209" s="9"/>
      <c r="T209" s="9"/>
      <c r="U209" s="9"/>
      <c r="X209" s="7"/>
      <c r="Y209" s="7"/>
    </row>
    <row r="210" spans="18:25" ht="13" x14ac:dyDescent="0.3">
      <c r="R210" s="9"/>
      <c r="T210" s="9"/>
      <c r="U210" s="9"/>
      <c r="X210" s="7"/>
      <c r="Y210" s="7"/>
    </row>
    <row r="211" spans="18:25" ht="13" x14ac:dyDescent="0.3">
      <c r="R211" s="9"/>
      <c r="T211" s="9"/>
      <c r="U211" s="9"/>
      <c r="X211" s="7"/>
      <c r="Y211" s="7"/>
    </row>
    <row r="212" spans="18:25" ht="13" x14ac:dyDescent="0.3">
      <c r="R212" s="9"/>
      <c r="T212" s="9"/>
      <c r="U212" s="9"/>
      <c r="X212" s="7"/>
      <c r="Y212" s="7"/>
    </row>
    <row r="213" spans="18:25" ht="13" x14ac:dyDescent="0.3">
      <c r="R213" s="9"/>
      <c r="T213" s="9"/>
      <c r="U213" s="9"/>
      <c r="X213" s="7"/>
      <c r="Y213" s="7"/>
    </row>
    <row r="214" spans="18:25" ht="13" x14ac:dyDescent="0.3">
      <c r="R214" s="9"/>
      <c r="T214" s="9"/>
      <c r="U214" s="9"/>
      <c r="X214" s="7"/>
      <c r="Y214" s="7"/>
    </row>
    <row r="215" spans="18:25" ht="13" x14ac:dyDescent="0.3">
      <c r="R215" s="9"/>
      <c r="T215" s="9"/>
      <c r="U215" s="9"/>
      <c r="X215" s="7"/>
      <c r="Y215" s="7"/>
    </row>
    <row r="216" spans="18:25" ht="13" x14ac:dyDescent="0.3">
      <c r="R216" s="9"/>
      <c r="T216" s="9"/>
      <c r="U216" s="9"/>
      <c r="X216" s="7"/>
      <c r="Y216" s="7"/>
    </row>
    <row r="217" spans="18:25" ht="13" x14ac:dyDescent="0.3">
      <c r="R217" s="9"/>
      <c r="T217" s="9"/>
      <c r="U217" s="9"/>
      <c r="X217" s="7"/>
      <c r="Y217" s="7"/>
    </row>
    <row r="218" spans="18:25" ht="13" x14ac:dyDescent="0.3">
      <c r="R218" s="9"/>
      <c r="T218" s="9"/>
      <c r="U218" s="9"/>
      <c r="X218" s="7"/>
      <c r="Y218" s="7"/>
    </row>
    <row r="219" spans="18:25" ht="13" x14ac:dyDescent="0.3">
      <c r="R219" s="9"/>
      <c r="T219" s="9"/>
      <c r="U219" s="9"/>
      <c r="X219" s="7"/>
      <c r="Y219" s="7"/>
    </row>
    <row r="220" spans="18:25" ht="13" x14ac:dyDescent="0.3">
      <c r="R220" s="9"/>
      <c r="T220" s="9"/>
      <c r="U220" s="9"/>
      <c r="X220" s="7"/>
      <c r="Y220" s="7"/>
    </row>
    <row r="221" spans="18:25" ht="13" x14ac:dyDescent="0.3">
      <c r="R221" s="9"/>
      <c r="T221" s="9"/>
      <c r="U221" s="9"/>
      <c r="X221" s="7"/>
      <c r="Y221" s="7"/>
    </row>
    <row r="222" spans="18:25" ht="13" x14ac:dyDescent="0.3">
      <c r="R222" s="9"/>
      <c r="T222" s="9"/>
      <c r="U222" s="9"/>
      <c r="X222" s="7"/>
      <c r="Y222" s="7"/>
    </row>
    <row r="223" spans="18:25" ht="13" x14ac:dyDescent="0.3">
      <c r="R223" s="9"/>
      <c r="T223" s="9"/>
      <c r="U223" s="9"/>
      <c r="X223" s="7"/>
      <c r="Y223" s="7"/>
    </row>
    <row r="224" spans="18:25" ht="13" x14ac:dyDescent="0.3">
      <c r="R224" s="9"/>
      <c r="T224" s="9"/>
      <c r="U224" s="9"/>
      <c r="X224" s="7"/>
      <c r="Y224" s="7"/>
    </row>
    <row r="225" spans="18:25" ht="13" x14ac:dyDescent="0.3">
      <c r="R225" s="9"/>
      <c r="T225" s="9"/>
      <c r="U225" s="9"/>
      <c r="X225" s="7"/>
      <c r="Y225" s="7"/>
    </row>
    <row r="226" spans="18:25" ht="13" x14ac:dyDescent="0.3">
      <c r="R226" s="9"/>
      <c r="T226" s="9"/>
      <c r="U226" s="9"/>
      <c r="X226" s="7"/>
      <c r="Y226" s="7"/>
    </row>
    <row r="227" spans="18:25" ht="13" x14ac:dyDescent="0.3">
      <c r="R227" s="9"/>
      <c r="T227" s="9"/>
      <c r="U227" s="9"/>
      <c r="X227" s="7"/>
      <c r="Y227" s="7"/>
    </row>
    <row r="228" spans="18:25" ht="13" x14ac:dyDescent="0.3">
      <c r="R228" s="9"/>
      <c r="T228" s="9"/>
      <c r="U228" s="9"/>
      <c r="X228" s="7"/>
      <c r="Y228" s="7"/>
    </row>
    <row r="229" spans="18:25" ht="13" x14ac:dyDescent="0.3">
      <c r="R229" s="9"/>
      <c r="T229" s="9"/>
      <c r="U229" s="9"/>
      <c r="X229" s="7"/>
      <c r="Y229" s="7"/>
    </row>
    <row r="230" spans="18:25" ht="13" x14ac:dyDescent="0.3">
      <c r="R230" s="9"/>
      <c r="T230" s="9"/>
      <c r="U230" s="9"/>
      <c r="X230" s="7"/>
      <c r="Y230" s="7"/>
    </row>
    <row r="231" spans="18:25" ht="13" x14ac:dyDescent="0.3">
      <c r="R231" s="9"/>
      <c r="T231" s="9"/>
      <c r="U231" s="9"/>
      <c r="X231" s="7"/>
      <c r="Y231" s="7"/>
    </row>
    <row r="232" spans="18:25" ht="13" x14ac:dyDescent="0.3">
      <c r="R232" s="9"/>
      <c r="T232" s="9"/>
      <c r="U232" s="9"/>
      <c r="X232" s="7"/>
      <c r="Y232" s="7"/>
    </row>
    <row r="233" spans="18:25" ht="13" x14ac:dyDescent="0.3">
      <c r="R233" s="9"/>
      <c r="T233" s="9"/>
      <c r="U233" s="9"/>
      <c r="X233" s="7"/>
      <c r="Y233" s="7"/>
    </row>
    <row r="234" spans="18:25" ht="13" x14ac:dyDescent="0.3">
      <c r="R234" s="9"/>
      <c r="T234" s="9"/>
      <c r="U234" s="9"/>
      <c r="X234" s="7"/>
      <c r="Y234" s="7"/>
    </row>
    <row r="235" spans="18:25" ht="13" x14ac:dyDescent="0.3">
      <c r="R235" s="9"/>
      <c r="T235" s="9"/>
      <c r="U235" s="9"/>
      <c r="X235" s="7"/>
      <c r="Y235" s="7"/>
    </row>
    <row r="236" spans="18:25" ht="13" x14ac:dyDescent="0.3">
      <c r="R236" s="9"/>
      <c r="T236" s="9"/>
      <c r="U236" s="9"/>
      <c r="X236" s="7"/>
      <c r="Y236" s="7"/>
    </row>
    <row r="237" spans="18:25" ht="13" x14ac:dyDescent="0.3">
      <c r="R237" s="9"/>
      <c r="T237" s="9"/>
      <c r="U237" s="9"/>
      <c r="X237" s="7"/>
      <c r="Y237" s="7"/>
    </row>
    <row r="238" spans="18:25" ht="13" x14ac:dyDescent="0.3">
      <c r="R238" s="9"/>
      <c r="T238" s="9"/>
      <c r="U238" s="9"/>
      <c r="X238" s="7"/>
      <c r="Y238" s="7"/>
    </row>
    <row r="239" spans="18:25" ht="13" x14ac:dyDescent="0.3">
      <c r="R239" s="9"/>
      <c r="T239" s="9"/>
      <c r="U239" s="9"/>
      <c r="X239" s="7"/>
      <c r="Y239" s="7"/>
    </row>
    <row r="240" spans="18:25" ht="13" x14ac:dyDescent="0.3">
      <c r="R240" s="9"/>
      <c r="T240" s="9"/>
      <c r="U240" s="9"/>
      <c r="X240" s="7"/>
      <c r="Y240" s="7"/>
    </row>
    <row r="241" spans="18:25" ht="13" x14ac:dyDescent="0.3">
      <c r="R241" s="9"/>
      <c r="T241" s="9"/>
      <c r="U241" s="9"/>
      <c r="X241" s="7"/>
      <c r="Y241" s="7"/>
    </row>
    <row r="242" spans="18:25" ht="13" x14ac:dyDescent="0.3">
      <c r="R242" s="9"/>
      <c r="T242" s="9"/>
      <c r="U242" s="9"/>
      <c r="X242" s="7"/>
      <c r="Y242" s="7"/>
    </row>
    <row r="243" spans="18:25" ht="13" x14ac:dyDescent="0.3">
      <c r="R243" s="9"/>
      <c r="T243" s="9"/>
      <c r="U243" s="9"/>
      <c r="X243" s="7"/>
      <c r="Y243" s="7"/>
    </row>
    <row r="244" spans="18:25" ht="13" x14ac:dyDescent="0.3">
      <c r="R244" s="9"/>
      <c r="T244" s="9"/>
      <c r="U244" s="9"/>
      <c r="X244" s="7"/>
      <c r="Y244" s="7"/>
    </row>
    <row r="245" spans="18:25" ht="13" x14ac:dyDescent="0.3">
      <c r="R245" s="9"/>
      <c r="T245" s="9"/>
      <c r="U245" s="9"/>
      <c r="X245" s="7"/>
      <c r="Y245" s="7"/>
    </row>
    <row r="246" spans="18:25" ht="13" x14ac:dyDescent="0.3">
      <c r="R246" s="9"/>
      <c r="T246" s="9"/>
      <c r="U246" s="9"/>
      <c r="X246" s="7"/>
      <c r="Y246" s="7"/>
    </row>
    <row r="247" spans="18:25" ht="13" x14ac:dyDescent="0.3">
      <c r="R247" s="9"/>
      <c r="T247" s="9"/>
      <c r="U247" s="9"/>
      <c r="X247" s="7"/>
      <c r="Y247" s="7"/>
    </row>
    <row r="248" spans="18:25" ht="13" x14ac:dyDescent="0.3">
      <c r="R248" s="9"/>
      <c r="T248" s="9"/>
      <c r="U248" s="9"/>
      <c r="X248" s="7"/>
      <c r="Y248" s="7"/>
    </row>
    <row r="249" spans="18:25" ht="13" x14ac:dyDescent="0.3">
      <c r="R249" s="9"/>
      <c r="T249" s="9"/>
      <c r="U249" s="9"/>
      <c r="X249" s="7"/>
      <c r="Y249" s="7"/>
    </row>
    <row r="250" spans="18:25" ht="13" x14ac:dyDescent="0.3">
      <c r="R250" s="9"/>
      <c r="T250" s="9"/>
      <c r="U250" s="9"/>
      <c r="X250" s="7"/>
      <c r="Y250" s="7"/>
    </row>
    <row r="251" spans="18:25" ht="13" x14ac:dyDescent="0.3">
      <c r="R251" s="9"/>
      <c r="T251" s="9"/>
      <c r="U251" s="9"/>
      <c r="X251" s="7"/>
      <c r="Y251" s="7"/>
    </row>
    <row r="252" spans="18:25" ht="13" x14ac:dyDescent="0.3">
      <c r="R252" s="9"/>
      <c r="T252" s="9"/>
      <c r="U252" s="9"/>
      <c r="X252" s="7"/>
      <c r="Y252" s="7"/>
    </row>
    <row r="253" spans="18:25" ht="13" x14ac:dyDescent="0.3">
      <c r="R253" s="9"/>
      <c r="T253" s="9"/>
      <c r="U253" s="9"/>
      <c r="X253" s="7"/>
      <c r="Y253" s="7"/>
    </row>
    <row r="254" spans="18:25" ht="13" x14ac:dyDescent="0.3">
      <c r="R254" s="9"/>
      <c r="T254" s="9"/>
      <c r="U254" s="9"/>
      <c r="X254" s="7"/>
      <c r="Y254" s="7"/>
    </row>
    <row r="255" spans="18:25" ht="13" x14ac:dyDescent="0.3">
      <c r="R255" s="9"/>
      <c r="T255" s="9"/>
      <c r="U255" s="9"/>
      <c r="X255" s="7"/>
      <c r="Y255" s="7"/>
    </row>
    <row r="256" spans="18:25" ht="13" x14ac:dyDescent="0.3">
      <c r="R256" s="9"/>
      <c r="T256" s="9"/>
      <c r="U256" s="9"/>
      <c r="X256" s="7"/>
      <c r="Y256" s="7"/>
    </row>
    <row r="257" spans="18:25" ht="13" x14ac:dyDescent="0.3">
      <c r="R257" s="9"/>
      <c r="T257" s="9"/>
      <c r="U257" s="9"/>
      <c r="X257" s="7"/>
      <c r="Y257" s="7"/>
    </row>
    <row r="258" spans="18:25" ht="13" x14ac:dyDescent="0.3">
      <c r="R258" s="9"/>
      <c r="T258" s="9"/>
      <c r="U258" s="9"/>
      <c r="X258" s="7"/>
      <c r="Y258" s="7"/>
    </row>
    <row r="259" spans="18:25" ht="13" x14ac:dyDescent="0.3">
      <c r="R259" s="9"/>
      <c r="T259" s="9"/>
      <c r="U259" s="9"/>
      <c r="X259" s="7"/>
      <c r="Y259" s="7"/>
    </row>
    <row r="260" spans="18:25" ht="13" x14ac:dyDescent="0.3">
      <c r="R260" s="9"/>
      <c r="T260" s="9"/>
      <c r="U260" s="9"/>
      <c r="X260" s="7"/>
      <c r="Y260" s="7"/>
    </row>
    <row r="261" spans="18:25" ht="13" x14ac:dyDescent="0.3">
      <c r="R261" s="9"/>
      <c r="T261" s="9"/>
      <c r="U261" s="9"/>
      <c r="X261" s="7"/>
      <c r="Y261" s="7"/>
    </row>
    <row r="262" spans="18:25" ht="13" x14ac:dyDescent="0.3">
      <c r="R262" s="9"/>
      <c r="T262" s="9"/>
      <c r="U262" s="9"/>
      <c r="X262" s="7"/>
      <c r="Y262" s="7"/>
    </row>
    <row r="263" spans="18:25" ht="13" x14ac:dyDescent="0.3">
      <c r="R263" s="9"/>
      <c r="T263" s="9"/>
      <c r="U263" s="9"/>
      <c r="X263" s="7"/>
      <c r="Y263" s="7"/>
    </row>
    <row r="264" spans="18:25" ht="13" x14ac:dyDescent="0.3">
      <c r="R264" s="9"/>
      <c r="T264" s="9"/>
      <c r="U264" s="9"/>
      <c r="X264" s="7"/>
      <c r="Y264" s="7"/>
    </row>
    <row r="265" spans="18:25" ht="13" x14ac:dyDescent="0.3">
      <c r="R265" s="9"/>
      <c r="T265" s="9"/>
      <c r="U265" s="9"/>
      <c r="X265" s="7"/>
      <c r="Y265" s="7"/>
    </row>
    <row r="266" spans="18:25" ht="13" x14ac:dyDescent="0.3">
      <c r="R266" s="9"/>
      <c r="T266" s="9"/>
      <c r="U266" s="9"/>
      <c r="X266" s="7"/>
      <c r="Y266" s="7"/>
    </row>
    <row r="267" spans="18:25" ht="13" x14ac:dyDescent="0.3">
      <c r="R267" s="9"/>
      <c r="T267" s="9"/>
      <c r="U267" s="9"/>
      <c r="X267" s="7"/>
      <c r="Y267" s="7"/>
    </row>
    <row r="268" spans="18:25" ht="13" x14ac:dyDescent="0.3">
      <c r="R268" s="9"/>
      <c r="T268" s="9"/>
      <c r="U268" s="9"/>
      <c r="X268" s="7"/>
      <c r="Y268" s="7"/>
    </row>
    <row r="269" spans="18:25" ht="13" x14ac:dyDescent="0.3">
      <c r="R269" s="9"/>
      <c r="T269" s="9"/>
      <c r="U269" s="9"/>
      <c r="X269" s="7"/>
      <c r="Y269" s="7"/>
    </row>
    <row r="270" spans="18:25" ht="13" x14ac:dyDescent="0.3">
      <c r="R270" s="9"/>
      <c r="T270" s="9"/>
      <c r="U270" s="9"/>
      <c r="X270" s="7"/>
      <c r="Y270" s="7"/>
    </row>
    <row r="271" spans="18:25" ht="13" x14ac:dyDescent="0.3">
      <c r="R271" s="9"/>
      <c r="T271" s="9"/>
      <c r="U271" s="9"/>
      <c r="X271" s="7"/>
      <c r="Y271" s="7"/>
    </row>
    <row r="272" spans="18:25" ht="13" x14ac:dyDescent="0.3">
      <c r="R272" s="9"/>
      <c r="T272" s="9"/>
      <c r="U272" s="9"/>
      <c r="X272" s="7"/>
      <c r="Y272" s="7"/>
    </row>
    <row r="273" spans="18:25" ht="13" x14ac:dyDescent="0.3">
      <c r="R273" s="9"/>
      <c r="T273" s="9"/>
      <c r="U273" s="9"/>
      <c r="X273" s="7"/>
      <c r="Y273" s="7"/>
    </row>
    <row r="274" spans="18:25" ht="13" x14ac:dyDescent="0.3">
      <c r="R274" s="9"/>
      <c r="T274" s="9"/>
      <c r="U274" s="9"/>
      <c r="X274" s="7"/>
      <c r="Y274" s="7"/>
    </row>
    <row r="275" spans="18:25" ht="13" x14ac:dyDescent="0.3">
      <c r="R275" s="9"/>
      <c r="T275" s="9"/>
      <c r="U275" s="9"/>
      <c r="X275" s="7"/>
      <c r="Y275" s="7"/>
    </row>
    <row r="276" spans="18:25" ht="13" x14ac:dyDescent="0.3">
      <c r="R276" s="9"/>
      <c r="T276" s="9"/>
      <c r="U276" s="9"/>
      <c r="X276" s="7"/>
      <c r="Y276" s="7"/>
    </row>
    <row r="277" spans="18:25" ht="13" x14ac:dyDescent="0.3">
      <c r="R277" s="9"/>
      <c r="T277" s="9"/>
      <c r="U277" s="9"/>
      <c r="X277" s="7"/>
      <c r="Y277" s="7"/>
    </row>
    <row r="278" spans="18:25" ht="13" x14ac:dyDescent="0.3">
      <c r="R278" s="9"/>
      <c r="T278" s="9"/>
      <c r="U278" s="9"/>
      <c r="X278" s="7"/>
      <c r="Y278" s="7"/>
    </row>
    <row r="279" spans="18:25" ht="13" x14ac:dyDescent="0.3">
      <c r="R279" s="9"/>
      <c r="T279" s="9"/>
      <c r="U279" s="9"/>
      <c r="X279" s="7"/>
      <c r="Y279" s="7"/>
    </row>
    <row r="280" spans="18:25" ht="13" x14ac:dyDescent="0.3">
      <c r="R280" s="9"/>
      <c r="T280" s="9"/>
      <c r="U280" s="9"/>
      <c r="X280" s="7"/>
      <c r="Y280" s="7"/>
    </row>
    <row r="281" spans="18:25" ht="13" x14ac:dyDescent="0.3">
      <c r="R281" s="9"/>
      <c r="T281" s="9"/>
      <c r="U281" s="9"/>
      <c r="X281" s="7"/>
      <c r="Y281" s="7"/>
    </row>
    <row r="282" spans="18:25" ht="13" x14ac:dyDescent="0.3">
      <c r="R282" s="9"/>
      <c r="T282" s="9"/>
      <c r="U282" s="9"/>
      <c r="X282" s="7"/>
      <c r="Y282" s="7"/>
    </row>
    <row r="283" spans="18:25" ht="13" x14ac:dyDescent="0.3">
      <c r="R283" s="9"/>
      <c r="T283" s="9"/>
      <c r="U283" s="9"/>
      <c r="X283" s="7"/>
      <c r="Y283" s="7"/>
    </row>
    <row r="284" spans="18:25" ht="13" x14ac:dyDescent="0.3">
      <c r="R284" s="9"/>
      <c r="T284" s="9"/>
      <c r="U284" s="9"/>
      <c r="X284" s="7"/>
      <c r="Y284" s="7"/>
    </row>
    <row r="285" spans="18:25" ht="13" x14ac:dyDescent="0.3">
      <c r="R285" s="9"/>
      <c r="T285" s="9"/>
      <c r="U285" s="9"/>
      <c r="X285" s="7"/>
      <c r="Y285" s="7"/>
    </row>
    <row r="286" spans="18:25" ht="13" x14ac:dyDescent="0.3">
      <c r="R286" s="9"/>
      <c r="T286" s="9"/>
      <c r="U286" s="9"/>
      <c r="X286" s="7"/>
      <c r="Y286" s="7"/>
    </row>
    <row r="287" spans="18:25" ht="13" x14ac:dyDescent="0.3">
      <c r="R287" s="9"/>
      <c r="T287" s="9"/>
      <c r="U287" s="9"/>
      <c r="X287" s="7"/>
      <c r="Y287" s="7"/>
    </row>
    <row r="288" spans="18:25" ht="13" x14ac:dyDescent="0.3">
      <c r="R288" s="9"/>
      <c r="T288" s="9"/>
      <c r="U288" s="9"/>
      <c r="X288" s="7"/>
      <c r="Y288" s="7"/>
    </row>
    <row r="289" spans="18:25" ht="13" x14ac:dyDescent="0.3">
      <c r="R289" s="9"/>
      <c r="T289" s="9"/>
      <c r="U289" s="9"/>
      <c r="X289" s="7"/>
      <c r="Y289" s="7"/>
    </row>
    <row r="290" spans="18:25" ht="13" x14ac:dyDescent="0.3">
      <c r="R290" s="9"/>
      <c r="T290" s="9"/>
      <c r="U290" s="9"/>
      <c r="X290" s="7"/>
      <c r="Y290" s="7"/>
    </row>
    <row r="291" spans="18:25" ht="13" x14ac:dyDescent="0.3">
      <c r="R291" s="9"/>
      <c r="T291" s="9"/>
      <c r="U291" s="9"/>
      <c r="X291" s="7"/>
      <c r="Y291" s="7"/>
    </row>
    <row r="292" spans="18:25" ht="13" x14ac:dyDescent="0.3">
      <c r="R292" s="9"/>
      <c r="T292" s="9"/>
      <c r="U292" s="9"/>
      <c r="X292" s="7"/>
      <c r="Y292" s="7"/>
    </row>
    <row r="293" spans="18:25" ht="13" x14ac:dyDescent="0.3">
      <c r="R293" s="9"/>
      <c r="T293" s="9"/>
      <c r="U293" s="9"/>
      <c r="X293" s="7"/>
      <c r="Y293" s="7"/>
    </row>
    <row r="294" spans="18:25" ht="13" x14ac:dyDescent="0.3">
      <c r="R294" s="9"/>
      <c r="T294" s="9"/>
      <c r="U294" s="9"/>
      <c r="X294" s="7"/>
      <c r="Y294" s="7"/>
    </row>
    <row r="295" spans="18:25" ht="13" x14ac:dyDescent="0.3">
      <c r="R295" s="9"/>
      <c r="T295" s="9"/>
      <c r="U295" s="9"/>
      <c r="X295" s="7"/>
      <c r="Y295" s="7"/>
    </row>
    <row r="296" spans="18:25" ht="13" x14ac:dyDescent="0.3">
      <c r="R296" s="9"/>
      <c r="T296" s="9"/>
      <c r="U296" s="9"/>
      <c r="X296" s="7"/>
      <c r="Y296" s="7"/>
    </row>
    <row r="297" spans="18:25" ht="13" x14ac:dyDescent="0.3">
      <c r="R297" s="9"/>
      <c r="T297" s="9"/>
      <c r="U297" s="9"/>
      <c r="X297" s="7"/>
      <c r="Y297" s="7"/>
    </row>
    <row r="298" spans="18:25" ht="13" x14ac:dyDescent="0.3">
      <c r="R298" s="9"/>
      <c r="T298" s="9"/>
      <c r="U298" s="9"/>
      <c r="X298" s="7"/>
      <c r="Y298" s="7"/>
    </row>
    <row r="299" spans="18:25" ht="13" x14ac:dyDescent="0.3">
      <c r="R299" s="9"/>
      <c r="T299" s="9"/>
      <c r="U299" s="9"/>
      <c r="X299" s="7"/>
      <c r="Y299" s="7"/>
    </row>
    <row r="300" spans="18:25" ht="13" x14ac:dyDescent="0.3">
      <c r="R300" s="9"/>
      <c r="T300" s="9"/>
      <c r="U300" s="9"/>
      <c r="X300" s="7"/>
      <c r="Y300" s="7"/>
    </row>
    <row r="301" spans="18:25" ht="13" x14ac:dyDescent="0.3">
      <c r="R301" s="9"/>
      <c r="T301" s="9"/>
      <c r="U301" s="9"/>
      <c r="X301" s="7"/>
      <c r="Y301" s="7"/>
    </row>
    <row r="302" spans="18:25" ht="13" x14ac:dyDescent="0.3">
      <c r="R302" s="9"/>
      <c r="T302" s="9"/>
      <c r="U302" s="9"/>
      <c r="X302" s="7"/>
      <c r="Y302" s="7"/>
    </row>
    <row r="303" spans="18:25" ht="13" x14ac:dyDescent="0.3">
      <c r="R303" s="9"/>
      <c r="T303" s="9"/>
      <c r="U303" s="9"/>
      <c r="X303" s="7"/>
      <c r="Y303" s="7"/>
    </row>
    <row r="304" spans="18:25" ht="13" x14ac:dyDescent="0.3">
      <c r="R304" s="9"/>
      <c r="T304" s="9"/>
      <c r="U304" s="9"/>
      <c r="X304" s="7"/>
      <c r="Y304" s="7"/>
    </row>
    <row r="305" spans="18:25" ht="13" x14ac:dyDescent="0.3">
      <c r="R305" s="9"/>
      <c r="T305" s="9"/>
      <c r="U305" s="9"/>
      <c r="X305" s="7"/>
      <c r="Y305" s="7"/>
    </row>
    <row r="306" spans="18:25" ht="13" x14ac:dyDescent="0.3">
      <c r="R306" s="9"/>
      <c r="T306" s="9"/>
      <c r="U306" s="9"/>
      <c r="X306" s="7"/>
      <c r="Y306" s="7"/>
    </row>
    <row r="307" spans="18:25" ht="13" x14ac:dyDescent="0.3">
      <c r="R307" s="9"/>
      <c r="T307" s="9"/>
      <c r="U307" s="9"/>
      <c r="X307" s="7"/>
      <c r="Y307" s="7"/>
    </row>
    <row r="308" spans="18:25" ht="13" x14ac:dyDescent="0.3">
      <c r="R308" s="9"/>
      <c r="T308" s="9"/>
      <c r="U308" s="9"/>
      <c r="X308" s="7"/>
      <c r="Y308" s="7"/>
    </row>
    <row r="309" spans="18:25" ht="13" x14ac:dyDescent="0.3">
      <c r="R309" s="9"/>
      <c r="T309" s="9"/>
      <c r="U309" s="9"/>
      <c r="X309" s="7"/>
      <c r="Y309" s="7"/>
    </row>
    <row r="310" spans="18:25" ht="13" x14ac:dyDescent="0.3">
      <c r="R310" s="9"/>
      <c r="T310" s="9"/>
      <c r="U310" s="9"/>
      <c r="X310" s="7"/>
      <c r="Y310" s="7"/>
    </row>
    <row r="311" spans="18:25" ht="13" x14ac:dyDescent="0.3">
      <c r="R311" s="9"/>
      <c r="T311" s="9"/>
      <c r="U311" s="9"/>
      <c r="X311" s="7"/>
      <c r="Y311" s="7"/>
    </row>
    <row r="312" spans="18:25" ht="13" x14ac:dyDescent="0.3">
      <c r="R312" s="9"/>
      <c r="T312" s="9"/>
      <c r="U312" s="9"/>
      <c r="X312" s="7"/>
      <c r="Y312" s="7"/>
    </row>
    <row r="313" spans="18:25" ht="13" x14ac:dyDescent="0.3">
      <c r="R313" s="9"/>
      <c r="T313" s="9"/>
      <c r="U313" s="9"/>
      <c r="X313" s="7"/>
      <c r="Y313" s="7"/>
    </row>
    <row r="314" spans="18:25" ht="13" x14ac:dyDescent="0.3">
      <c r="R314" s="9"/>
      <c r="T314" s="9"/>
      <c r="U314" s="9"/>
      <c r="X314" s="7"/>
      <c r="Y314" s="7"/>
    </row>
    <row r="315" spans="18:25" ht="13" x14ac:dyDescent="0.3">
      <c r="R315" s="9"/>
      <c r="T315" s="9"/>
      <c r="U315" s="9"/>
      <c r="X315" s="7"/>
      <c r="Y315" s="7"/>
    </row>
    <row r="316" spans="18:25" ht="13" x14ac:dyDescent="0.3">
      <c r="R316" s="9"/>
      <c r="T316" s="9"/>
      <c r="U316" s="9"/>
      <c r="X316" s="7"/>
      <c r="Y316" s="7"/>
    </row>
    <row r="317" spans="18:25" ht="13" x14ac:dyDescent="0.3">
      <c r="R317" s="9"/>
      <c r="T317" s="9"/>
      <c r="U317" s="9"/>
      <c r="X317" s="7"/>
      <c r="Y317" s="7"/>
    </row>
    <row r="318" spans="18:25" ht="13" x14ac:dyDescent="0.3">
      <c r="R318" s="9"/>
      <c r="T318" s="9"/>
      <c r="U318" s="9"/>
      <c r="X318" s="7"/>
      <c r="Y318" s="7"/>
    </row>
    <row r="319" spans="18:25" ht="13" x14ac:dyDescent="0.3">
      <c r="R319" s="9"/>
      <c r="T319" s="9"/>
      <c r="U319" s="9"/>
      <c r="X319" s="7"/>
      <c r="Y319" s="7"/>
    </row>
    <row r="320" spans="18:25" ht="13" x14ac:dyDescent="0.3">
      <c r="R320" s="9"/>
      <c r="T320" s="9"/>
      <c r="U320" s="9"/>
      <c r="X320" s="7"/>
      <c r="Y320" s="7"/>
    </row>
    <row r="321" spans="18:25" ht="13" x14ac:dyDescent="0.3">
      <c r="R321" s="9"/>
      <c r="T321" s="9"/>
      <c r="U321" s="9"/>
      <c r="X321" s="7"/>
      <c r="Y321" s="7"/>
    </row>
    <row r="322" spans="18:25" ht="13" x14ac:dyDescent="0.3">
      <c r="R322" s="9"/>
      <c r="T322" s="9"/>
      <c r="U322" s="9"/>
      <c r="X322" s="7"/>
      <c r="Y322" s="7"/>
    </row>
    <row r="323" spans="18:25" ht="13" x14ac:dyDescent="0.3">
      <c r="R323" s="9"/>
      <c r="T323" s="9"/>
      <c r="U323" s="9"/>
      <c r="X323" s="7"/>
      <c r="Y323" s="7"/>
    </row>
    <row r="324" spans="18:25" ht="13" x14ac:dyDescent="0.3">
      <c r="R324" s="9"/>
      <c r="T324" s="9"/>
      <c r="U324" s="9"/>
      <c r="X324" s="7"/>
      <c r="Y324" s="7"/>
    </row>
    <row r="325" spans="18:25" ht="13" x14ac:dyDescent="0.3">
      <c r="R325" s="9"/>
      <c r="T325" s="9"/>
      <c r="U325" s="9"/>
      <c r="X325" s="7"/>
      <c r="Y325" s="7"/>
    </row>
    <row r="326" spans="18:25" ht="13" x14ac:dyDescent="0.3">
      <c r="R326" s="9"/>
      <c r="T326" s="9"/>
      <c r="U326" s="9"/>
      <c r="X326" s="7"/>
      <c r="Y326" s="7"/>
    </row>
    <row r="327" spans="18:25" ht="13" x14ac:dyDescent="0.3">
      <c r="R327" s="9"/>
      <c r="T327" s="9"/>
      <c r="U327" s="9"/>
      <c r="X327" s="7"/>
      <c r="Y327" s="7"/>
    </row>
    <row r="328" spans="18:25" ht="13" x14ac:dyDescent="0.3">
      <c r="R328" s="9"/>
      <c r="T328" s="9"/>
      <c r="U328" s="9"/>
      <c r="X328" s="7"/>
      <c r="Y328" s="7"/>
    </row>
    <row r="329" spans="18:25" ht="13" x14ac:dyDescent="0.3">
      <c r="R329" s="9"/>
      <c r="T329" s="9"/>
      <c r="U329" s="9"/>
      <c r="X329" s="7"/>
      <c r="Y329" s="7"/>
    </row>
    <row r="330" spans="18:25" ht="13" x14ac:dyDescent="0.3">
      <c r="R330" s="9"/>
      <c r="T330" s="9"/>
      <c r="U330" s="9"/>
      <c r="X330" s="7"/>
      <c r="Y330" s="7"/>
    </row>
    <row r="331" spans="18:25" ht="13" x14ac:dyDescent="0.3">
      <c r="R331" s="9"/>
      <c r="T331" s="9"/>
      <c r="U331" s="9"/>
      <c r="X331" s="7"/>
      <c r="Y331" s="7"/>
    </row>
    <row r="332" spans="18:25" ht="13" x14ac:dyDescent="0.3">
      <c r="R332" s="9"/>
      <c r="T332" s="9"/>
      <c r="U332" s="9"/>
      <c r="X332" s="7"/>
      <c r="Y332" s="7"/>
    </row>
    <row r="333" spans="18:25" ht="13" x14ac:dyDescent="0.3">
      <c r="R333" s="9"/>
      <c r="T333" s="9"/>
      <c r="U333" s="9"/>
      <c r="X333" s="7"/>
      <c r="Y333" s="7"/>
    </row>
    <row r="334" spans="18:25" ht="13" x14ac:dyDescent="0.3">
      <c r="R334" s="9"/>
      <c r="T334" s="9"/>
      <c r="U334" s="9"/>
      <c r="X334" s="7"/>
      <c r="Y334" s="7"/>
    </row>
    <row r="335" spans="18:25" ht="13" x14ac:dyDescent="0.3">
      <c r="R335" s="9"/>
      <c r="T335" s="9"/>
      <c r="U335" s="9"/>
      <c r="X335" s="7"/>
      <c r="Y335" s="7"/>
    </row>
    <row r="336" spans="18:25" ht="13" x14ac:dyDescent="0.3">
      <c r="R336" s="9"/>
      <c r="T336" s="9"/>
      <c r="U336" s="9"/>
      <c r="X336" s="7"/>
      <c r="Y336" s="7"/>
    </row>
    <row r="337" spans="18:25" ht="13" x14ac:dyDescent="0.3">
      <c r="R337" s="9"/>
      <c r="T337" s="9"/>
      <c r="U337" s="9"/>
      <c r="X337" s="7"/>
      <c r="Y337" s="7"/>
    </row>
    <row r="338" spans="18:25" ht="13" x14ac:dyDescent="0.3">
      <c r="R338" s="9"/>
      <c r="T338" s="9"/>
      <c r="U338" s="9"/>
      <c r="X338" s="7"/>
      <c r="Y338" s="7"/>
    </row>
    <row r="339" spans="18:25" ht="13" x14ac:dyDescent="0.3">
      <c r="R339" s="9"/>
      <c r="T339" s="9"/>
      <c r="U339" s="9"/>
      <c r="X339" s="7"/>
      <c r="Y339" s="7"/>
    </row>
    <row r="340" spans="18:25" ht="13" x14ac:dyDescent="0.3">
      <c r="R340" s="9"/>
      <c r="T340" s="9"/>
      <c r="U340" s="9"/>
      <c r="X340" s="7"/>
      <c r="Y340" s="7"/>
    </row>
    <row r="341" spans="18:25" ht="13" x14ac:dyDescent="0.3">
      <c r="R341" s="9"/>
      <c r="T341" s="9"/>
      <c r="U341" s="9"/>
      <c r="X341" s="7"/>
      <c r="Y341" s="7"/>
    </row>
    <row r="342" spans="18:25" ht="13" x14ac:dyDescent="0.3">
      <c r="R342" s="9"/>
      <c r="T342" s="9"/>
      <c r="U342" s="9"/>
      <c r="X342" s="7"/>
      <c r="Y342" s="7"/>
    </row>
    <row r="343" spans="18:25" ht="13" x14ac:dyDescent="0.3">
      <c r="R343" s="9"/>
      <c r="T343" s="9"/>
      <c r="U343" s="9"/>
      <c r="X343" s="7"/>
      <c r="Y343" s="7"/>
    </row>
    <row r="344" spans="18:25" ht="13" x14ac:dyDescent="0.3">
      <c r="R344" s="9"/>
      <c r="T344" s="9"/>
      <c r="U344" s="9"/>
      <c r="X344" s="7"/>
      <c r="Y344" s="7"/>
    </row>
    <row r="345" spans="18:25" ht="13" x14ac:dyDescent="0.3">
      <c r="R345" s="9"/>
      <c r="T345" s="9"/>
      <c r="U345" s="9"/>
      <c r="X345" s="7"/>
      <c r="Y345" s="7"/>
    </row>
    <row r="346" spans="18:25" ht="13" x14ac:dyDescent="0.3">
      <c r="R346" s="9"/>
      <c r="T346" s="9"/>
      <c r="U346" s="9"/>
      <c r="X346" s="7"/>
      <c r="Y346" s="7"/>
    </row>
    <row r="347" spans="18:25" ht="13" x14ac:dyDescent="0.3">
      <c r="R347" s="9"/>
      <c r="T347" s="9"/>
      <c r="U347" s="9"/>
      <c r="X347" s="7"/>
      <c r="Y347" s="7"/>
    </row>
    <row r="348" spans="18:25" ht="13" x14ac:dyDescent="0.3">
      <c r="R348" s="9"/>
      <c r="T348" s="9"/>
      <c r="U348" s="9"/>
      <c r="X348" s="7"/>
      <c r="Y348" s="7"/>
    </row>
    <row r="349" spans="18:25" ht="13" x14ac:dyDescent="0.3">
      <c r="R349" s="9"/>
      <c r="T349" s="9"/>
      <c r="U349" s="9"/>
      <c r="X349" s="7"/>
      <c r="Y349" s="7"/>
    </row>
    <row r="350" spans="18:25" ht="13" x14ac:dyDescent="0.3">
      <c r="R350" s="9"/>
      <c r="T350" s="9"/>
      <c r="U350" s="9"/>
      <c r="X350" s="7"/>
      <c r="Y350" s="7"/>
    </row>
    <row r="351" spans="18:25" ht="13" x14ac:dyDescent="0.3">
      <c r="R351" s="9"/>
      <c r="T351" s="9"/>
      <c r="U351" s="9"/>
      <c r="X351" s="7"/>
      <c r="Y351" s="7"/>
    </row>
    <row r="352" spans="18:25" ht="13" x14ac:dyDescent="0.3">
      <c r="R352" s="9"/>
      <c r="T352" s="9"/>
      <c r="U352" s="9"/>
      <c r="X352" s="7"/>
      <c r="Y352" s="7"/>
    </row>
    <row r="353" spans="18:25" ht="13" x14ac:dyDescent="0.3">
      <c r="R353" s="9"/>
      <c r="T353" s="9"/>
      <c r="U353" s="9"/>
      <c r="X353" s="7"/>
      <c r="Y353" s="7"/>
    </row>
    <row r="354" spans="18:25" ht="13" x14ac:dyDescent="0.3">
      <c r="R354" s="9"/>
      <c r="T354" s="9"/>
      <c r="U354" s="9"/>
      <c r="X354" s="7"/>
      <c r="Y354" s="7"/>
    </row>
    <row r="355" spans="18:25" ht="13" x14ac:dyDescent="0.3">
      <c r="R355" s="9"/>
      <c r="T355" s="9"/>
      <c r="U355" s="9"/>
      <c r="X355" s="7"/>
      <c r="Y355" s="7"/>
    </row>
    <row r="356" spans="18:25" ht="13" x14ac:dyDescent="0.3">
      <c r="R356" s="9"/>
      <c r="T356" s="9"/>
      <c r="U356" s="9"/>
      <c r="X356" s="7"/>
      <c r="Y356" s="7"/>
    </row>
    <row r="357" spans="18:25" ht="13" x14ac:dyDescent="0.3">
      <c r="R357" s="9"/>
      <c r="T357" s="9"/>
      <c r="U357" s="9"/>
      <c r="X357" s="7"/>
      <c r="Y357" s="7"/>
    </row>
    <row r="358" spans="18:25" ht="13" x14ac:dyDescent="0.3">
      <c r="R358" s="9"/>
      <c r="T358" s="9"/>
      <c r="U358" s="9"/>
      <c r="X358" s="7"/>
      <c r="Y358" s="7"/>
    </row>
    <row r="359" spans="18:25" ht="13" x14ac:dyDescent="0.3">
      <c r="R359" s="9"/>
      <c r="T359" s="9"/>
      <c r="U359" s="9"/>
      <c r="X359" s="7"/>
      <c r="Y359" s="7"/>
    </row>
    <row r="360" spans="18:25" ht="13" x14ac:dyDescent="0.3">
      <c r="R360" s="9"/>
      <c r="T360" s="9"/>
      <c r="U360" s="9"/>
      <c r="X360" s="7"/>
      <c r="Y360" s="7"/>
    </row>
    <row r="361" spans="18:25" ht="13" x14ac:dyDescent="0.3">
      <c r="R361" s="9"/>
      <c r="T361" s="9"/>
      <c r="U361" s="9"/>
      <c r="X361" s="7"/>
      <c r="Y361" s="7"/>
    </row>
    <row r="362" spans="18:25" ht="13" x14ac:dyDescent="0.3">
      <c r="R362" s="9"/>
      <c r="T362" s="9"/>
      <c r="U362" s="9"/>
      <c r="X362" s="7"/>
      <c r="Y362" s="7"/>
    </row>
    <row r="363" spans="18:25" ht="13" x14ac:dyDescent="0.3">
      <c r="R363" s="9"/>
      <c r="T363" s="9"/>
      <c r="U363" s="9"/>
      <c r="X363" s="7"/>
      <c r="Y363" s="7"/>
    </row>
    <row r="364" spans="18:25" ht="13" x14ac:dyDescent="0.3">
      <c r="R364" s="9"/>
      <c r="T364" s="9"/>
      <c r="U364" s="9"/>
      <c r="X364" s="7"/>
      <c r="Y364" s="7"/>
    </row>
    <row r="365" spans="18:25" ht="13" x14ac:dyDescent="0.3">
      <c r="R365" s="9"/>
      <c r="T365" s="9"/>
      <c r="U365" s="9"/>
      <c r="X365" s="7"/>
      <c r="Y365" s="7"/>
    </row>
    <row r="366" spans="18:25" ht="13" x14ac:dyDescent="0.3">
      <c r="R366" s="9"/>
      <c r="T366" s="9"/>
      <c r="U366" s="9"/>
      <c r="X366" s="7"/>
      <c r="Y366" s="7"/>
    </row>
    <row r="367" spans="18:25" ht="13" x14ac:dyDescent="0.3">
      <c r="R367" s="9"/>
      <c r="T367" s="9"/>
      <c r="U367" s="9"/>
      <c r="X367" s="7"/>
      <c r="Y367" s="7"/>
    </row>
    <row r="368" spans="18:25" ht="13" x14ac:dyDescent="0.3">
      <c r="R368" s="9"/>
      <c r="T368" s="9"/>
      <c r="U368" s="9"/>
      <c r="X368" s="7"/>
      <c r="Y368" s="7"/>
    </row>
    <row r="369" spans="18:25" ht="13" x14ac:dyDescent="0.3">
      <c r="R369" s="9"/>
      <c r="T369" s="9"/>
      <c r="U369" s="9"/>
      <c r="X369" s="7"/>
      <c r="Y369" s="7"/>
    </row>
    <row r="370" spans="18:25" ht="13" x14ac:dyDescent="0.3">
      <c r="R370" s="9"/>
      <c r="T370" s="9"/>
      <c r="U370" s="9"/>
      <c r="X370" s="7"/>
      <c r="Y370" s="7"/>
    </row>
    <row r="371" spans="18:25" ht="13" x14ac:dyDescent="0.3">
      <c r="R371" s="9"/>
      <c r="T371" s="9"/>
      <c r="U371" s="9"/>
      <c r="X371" s="7"/>
      <c r="Y371" s="7"/>
    </row>
    <row r="372" spans="18:25" ht="13" x14ac:dyDescent="0.3">
      <c r="R372" s="9"/>
      <c r="T372" s="9"/>
      <c r="U372" s="9"/>
      <c r="X372" s="7"/>
      <c r="Y372" s="7"/>
    </row>
    <row r="373" spans="18:25" ht="13" x14ac:dyDescent="0.3">
      <c r="R373" s="9"/>
      <c r="T373" s="9"/>
      <c r="U373" s="9"/>
      <c r="X373" s="7"/>
      <c r="Y373" s="7"/>
    </row>
    <row r="374" spans="18:25" ht="13" x14ac:dyDescent="0.3">
      <c r="R374" s="9"/>
      <c r="T374" s="9"/>
      <c r="U374" s="9"/>
      <c r="X374" s="7"/>
      <c r="Y374" s="7"/>
    </row>
    <row r="375" spans="18:25" ht="13" x14ac:dyDescent="0.3">
      <c r="R375" s="9"/>
      <c r="T375" s="9"/>
      <c r="U375" s="9"/>
      <c r="X375" s="7"/>
      <c r="Y375" s="7"/>
    </row>
    <row r="376" spans="18:25" ht="13" x14ac:dyDescent="0.3">
      <c r="R376" s="9"/>
      <c r="T376" s="9"/>
      <c r="U376" s="9"/>
      <c r="X376" s="7"/>
      <c r="Y376" s="7"/>
    </row>
    <row r="377" spans="18:25" ht="13" x14ac:dyDescent="0.3">
      <c r="R377" s="9"/>
      <c r="T377" s="9"/>
      <c r="U377" s="9"/>
      <c r="X377" s="7"/>
      <c r="Y377" s="7"/>
    </row>
    <row r="378" spans="18:25" ht="13" x14ac:dyDescent="0.3">
      <c r="R378" s="9"/>
      <c r="T378" s="9"/>
      <c r="U378" s="9"/>
      <c r="X378" s="7"/>
      <c r="Y378" s="7"/>
    </row>
    <row r="379" spans="18:25" ht="13" x14ac:dyDescent="0.3">
      <c r="R379" s="9"/>
      <c r="T379" s="9"/>
      <c r="U379" s="9"/>
      <c r="X379" s="7"/>
      <c r="Y379" s="7"/>
    </row>
    <row r="380" spans="18:25" ht="13" x14ac:dyDescent="0.3">
      <c r="R380" s="9"/>
      <c r="T380" s="9"/>
      <c r="U380" s="9"/>
      <c r="X380" s="7"/>
      <c r="Y380" s="7"/>
    </row>
    <row r="381" spans="18:25" ht="13" x14ac:dyDescent="0.3">
      <c r="R381" s="9"/>
      <c r="T381" s="9"/>
      <c r="U381" s="9"/>
      <c r="X381" s="7"/>
      <c r="Y381" s="7"/>
    </row>
    <row r="382" spans="18:25" ht="13" x14ac:dyDescent="0.3">
      <c r="R382" s="9"/>
      <c r="T382" s="9"/>
      <c r="U382" s="9"/>
      <c r="X382" s="7"/>
      <c r="Y382" s="7"/>
    </row>
    <row r="383" spans="18:25" ht="13" x14ac:dyDescent="0.3">
      <c r="R383" s="9"/>
      <c r="T383" s="9"/>
      <c r="U383" s="9"/>
      <c r="X383" s="7"/>
      <c r="Y383" s="7"/>
    </row>
    <row r="384" spans="18:25" ht="13" x14ac:dyDescent="0.3">
      <c r="R384" s="9"/>
      <c r="T384" s="9"/>
      <c r="U384" s="9"/>
      <c r="X384" s="7"/>
      <c r="Y384" s="7"/>
    </row>
    <row r="385" spans="18:25" ht="13" x14ac:dyDescent="0.3">
      <c r="R385" s="9"/>
      <c r="T385" s="9"/>
      <c r="U385" s="9"/>
      <c r="X385" s="7"/>
      <c r="Y385" s="7"/>
    </row>
    <row r="386" spans="18:25" ht="13" x14ac:dyDescent="0.3">
      <c r="R386" s="9"/>
      <c r="T386" s="9"/>
      <c r="U386" s="9"/>
      <c r="X386" s="7"/>
      <c r="Y386" s="7"/>
    </row>
    <row r="387" spans="18:25" ht="13" x14ac:dyDescent="0.3">
      <c r="R387" s="9"/>
      <c r="T387" s="9"/>
      <c r="U387" s="9"/>
      <c r="X387" s="7"/>
      <c r="Y387" s="7"/>
    </row>
    <row r="388" spans="18:25" ht="13" x14ac:dyDescent="0.3">
      <c r="R388" s="9"/>
      <c r="T388" s="9"/>
      <c r="U388" s="9"/>
      <c r="X388" s="7"/>
      <c r="Y388" s="7"/>
    </row>
    <row r="389" spans="18:25" ht="13" x14ac:dyDescent="0.3">
      <c r="R389" s="9"/>
      <c r="T389" s="9"/>
      <c r="U389" s="9"/>
      <c r="X389" s="7"/>
      <c r="Y389" s="7"/>
    </row>
    <row r="390" spans="18:25" ht="13" x14ac:dyDescent="0.3">
      <c r="R390" s="9"/>
      <c r="T390" s="9"/>
      <c r="U390" s="9"/>
      <c r="X390" s="7"/>
      <c r="Y390" s="7"/>
    </row>
    <row r="391" spans="18:25" ht="13" x14ac:dyDescent="0.3">
      <c r="R391" s="9"/>
      <c r="T391" s="9"/>
      <c r="U391" s="9"/>
      <c r="X391" s="7"/>
      <c r="Y391" s="7"/>
    </row>
    <row r="392" spans="18:25" ht="13" x14ac:dyDescent="0.3">
      <c r="R392" s="9"/>
      <c r="T392" s="9"/>
      <c r="U392" s="9"/>
      <c r="X392" s="7"/>
      <c r="Y392" s="7"/>
    </row>
    <row r="393" spans="18:25" ht="13" x14ac:dyDescent="0.3">
      <c r="R393" s="9"/>
      <c r="T393" s="9"/>
      <c r="U393" s="9"/>
      <c r="X393" s="7"/>
      <c r="Y393" s="7"/>
    </row>
    <row r="394" spans="18:25" ht="13" x14ac:dyDescent="0.3">
      <c r="R394" s="9"/>
      <c r="T394" s="9"/>
      <c r="U394" s="9"/>
      <c r="X394" s="7"/>
      <c r="Y394" s="7"/>
    </row>
    <row r="395" spans="18:25" ht="13" x14ac:dyDescent="0.3">
      <c r="R395" s="9"/>
      <c r="T395" s="9"/>
      <c r="U395" s="9"/>
      <c r="X395" s="7"/>
      <c r="Y395" s="7"/>
    </row>
    <row r="396" spans="18:25" ht="13" x14ac:dyDescent="0.3">
      <c r="R396" s="9"/>
      <c r="T396" s="9"/>
      <c r="U396" s="9"/>
      <c r="X396" s="7"/>
      <c r="Y396" s="7"/>
    </row>
    <row r="397" spans="18:25" ht="13" x14ac:dyDescent="0.3">
      <c r="R397" s="9"/>
      <c r="T397" s="9"/>
      <c r="U397" s="9"/>
      <c r="X397" s="7"/>
      <c r="Y397" s="7"/>
    </row>
    <row r="398" spans="18:25" ht="13" x14ac:dyDescent="0.3">
      <c r="R398" s="9"/>
      <c r="T398" s="9"/>
      <c r="U398" s="9"/>
      <c r="X398" s="7"/>
      <c r="Y398" s="7"/>
    </row>
    <row r="399" spans="18:25" ht="13" x14ac:dyDescent="0.3">
      <c r="R399" s="9"/>
      <c r="T399" s="9"/>
      <c r="U399" s="9"/>
      <c r="X399" s="7"/>
      <c r="Y399" s="7"/>
    </row>
    <row r="400" spans="18:25" ht="13" x14ac:dyDescent="0.3">
      <c r="R400" s="9"/>
      <c r="T400" s="9"/>
      <c r="U400" s="9"/>
      <c r="X400" s="7"/>
      <c r="Y400" s="7"/>
    </row>
    <row r="401" spans="18:25" ht="13" x14ac:dyDescent="0.3">
      <c r="R401" s="9"/>
      <c r="T401" s="9"/>
      <c r="U401" s="9"/>
      <c r="X401" s="7"/>
      <c r="Y401" s="7"/>
    </row>
    <row r="402" spans="18:25" ht="13" x14ac:dyDescent="0.3">
      <c r="R402" s="9"/>
      <c r="T402" s="9"/>
      <c r="U402" s="9"/>
      <c r="X402" s="7"/>
      <c r="Y402" s="7"/>
    </row>
    <row r="403" spans="18:25" ht="13" x14ac:dyDescent="0.3">
      <c r="R403" s="9"/>
      <c r="T403" s="9"/>
      <c r="U403" s="9"/>
      <c r="X403" s="7"/>
      <c r="Y403" s="7"/>
    </row>
    <row r="404" spans="18:25" ht="13" x14ac:dyDescent="0.3">
      <c r="R404" s="9"/>
      <c r="T404" s="9"/>
      <c r="U404" s="9"/>
      <c r="X404" s="7"/>
      <c r="Y404" s="7"/>
    </row>
    <row r="405" spans="18:25" ht="13" x14ac:dyDescent="0.3">
      <c r="R405" s="9"/>
      <c r="T405" s="9"/>
      <c r="U405" s="9"/>
      <c r="X405" s="7"/>
      <c r="Y405" s="7"/>
    </row>
    <row r="406" spans="18:25" ht="13" x14ac:dyDescent="0.3">
      <c r="R406" s="9"/>
      <c r="T406" s="9"/>
      <c r="U406" s="9"/>
      <c r="X406" s="7"/>
      <c r="Y406" s="7"/>
    </row>
    <row r="407" spans="18:25" ht="13" x14ac:dyDescent="0.3">
      <c r="R407" s="9"/>
      <c r="T407" s="9"/>
      <c r="U407" s="9"/>
      <c r="X407" s="7"/>
      <c r="Y407" s="7"/>
    </row>
    <row r="408" spans="18:25" ht="13" x14ac:dyDescent="0.3">
      <c r="R408" s="9"/>
      <c r="T408" s="9"/>
      <c r="U408" s="9"/>
      <c r="X408" s="7"/>
      <c r="Y408" s="7"/>
    </row>
    <row r="409" spans="18:25" ht="13" x14ac:dyDescent="0.3">
      <c r="R409" s="9"/>
      <c r="T409" s="9"/>
      <c r="U409" s="9"/>
      <c r="X409" s="7"/>
      <c r="Y409" s="7"/>
    </row>
    <row r="410" spans="18:25" ht="13" x14ac:dyDescent="0.3">
      <c r="R410" s="9"/>
      <c r="T410" s="9"/>
      <c r="U410" s="9"/>
      <c r="X410" s="7"/>
      <c r="Y410" s="7"/>
    </row>
    <row r="411" spans="18:25" ht="13" x14ac:dyDescent="0.3">
      <c r="R411" s="9"/>
      <c r="T411" s="9"/>
      <c r="U411" s="9"/>
      <c r="X411" s="7"/>
      <c r="Y411" s="7"/>
    </row>
    <row r="412" spans="18:25" ht="13" x14ac:dyDescent="0.3">
      <c r="R412" s="9"/>
      <c r="T412" s="9"/>
      <c r="U412" s="9"/>
      <c r="X412" s="7"/>
      <c r="Y412" s="7"/>
    </row>
    <row r="413" spans="18:25" ht="13" x14ac:dyDescent="0.3">
      <c r="R413" s="9"/>
      <c r="T413" s="9"/>
      <c r="U413" s="9"/>
      <c r="X413" s="7"/>
      <c r="Y413" s="7"/>
    </row>
    <row r="414" spans="18:25" ht="13" x14ac:dyDescent="0.3">
      <c r="R414" s="9"/>
      <c r="T414" s="9"/>
      <c r="U414" s="9"/>
      <c r="X414" s="7"/>
      <c r="Y414" s="7"/>
    </row>
    <row r="415" spans="18:25" ht="13" x14ac:dyDescent="0.3">
      <c r="R415" s="9"/>
      <c r="T415" s="9"/>
      <c r="U415" s="9"/>
      <c r="X415" s="7"/>
      <c r="Y415" s="7"/>
    </row>
    <row r="416" spans="18:25" ht="13" x14ac:dyDescent="0.3">
      <c r="R416" s="9"/>
      <c r="T416" s="9"/>
      <c r="U416" s="9"/>
      <c r="X416" s="7"/>
      <c r="Y416" s="7"/>
    </row>
    <row r="417" spans="18:25" ht="13" x14ac:dyDescent="0.3">
      <c r="R417" s="9"/>
      <c r="T417" s="9"/>
      <c r="U417" s="9"/>
      <c r="X417" s="7"/>
      <c r="Y417" s="7"/>
    </row>
    <row r="418" spans="18:25" ht="13" x14ac:dyDescent="0.3">
      <c r="R418" s="9"/>
      <c r="T418" s="9"/>
      <c r="U418" s="9"/>
      <c r="X418" s="7"/>
      <c r="Y418" s="7"/>
    </row>
    <row r="419" spans="18:25" ht="13" x14ac:dyDescent="0.3">
      <c r="R419" s="9"/>
      <c r="T419" s="9"/>
      <c r="U419" s="9"/>
      <c r="X419" s="7"/>
      <c r="Y419" s="7"/>
    </row>
    <row r="420" spans="18:25" ht="13" x14ac:dyDescent="0.3">
      <c r="R420" s="9"/>
      <c r="T420" s="9"/>
      <c r="U420" s="9"/>
      <c r="X420" s="7"/>
      <c r="Y420" s="7"/>
    </row>
    <row r="421" spans="18:25" ht="13" x14ac:dyDescent="0.3">
      <c r="R421" s="9"/>
      <c r="T421" s="9"/>
      <c r="U421" s="9"/>
      <c r="X421" s="7"/>
      <c r="Y421" s="7"/>
    </row>
    <row r="422" spans="18:25" ht="13" x14ac:dyDescent="0.3">
      <c r="R422" s="9"/>
      <c r="T422" s="9"/>
      <c r="U422" s="9"/>
      <c r="X422" s="7"/>
      <c r="Y422" s="7"/>
    </row>
    <row r="423" spans="18:25" ht="13" x14ac:dyDescent="0.3">
      <c r="R423" s="9"/>
      <c r="T423" s="9"/>
      <c r="U423" s="9"/>
      <c r="X423" s="7"/>
      <c r="Y423" s="7"/>
    </row>
    <row r="424" spans="18:25" ht="13" x14ac:dyDescent="0.3">
      <c r="R424" s="9"/>
      <c r="T424" s="9"/>
      <c r="U424" s="9"/>
      <c r="X424" s="7"/>
      <c r="Y424" s="7"/>
    </row>
    <row r="425" spans="18:25" ht="13" x14ac:dyDescent="0.3">
      <c r="R425" s="9"/>
      <c r="T425" s="9"/>
      <c r="U425" s="9"/>
      <c r="X425" s="7"/>
      <c r="Y425" s="7"/>
    </row>
    <row r="426" spans="18:25" ht="13" x14ac:dyDescent="0.3">
      <c r="R426" s="9"/>
      <c r="T426" s="9"/>
      <c r="U426" s="9"/>
      <c r="X426" s="7"/>
      <c r="Y426" s="7"/>
    </row>
    <row r="427" spans="18:25" ht="13" x14ac:dyDescent="0.3">
      <c r="R427" s="9"/>
      <c r="T427" s="9"/>
      <c r="U427" s="9"/>
      <c r="X427" s="7"/>
      <c r="Y427" s="7"/>
    </row>
    <row r="428" spans="18:25" ht="13" x14ac:dyDescent="0.3">
      <c r="R428" s="9"/>
      <c r="T428" s="9"/>
      <c r="U428" s="9"/>
      <c r="X428" s="7"/>
      <c r="Y428" s="7"/>
    </row>
    <row r="429" spans="18:25" ht="13" x14ac:dyDescent="0.3">
      <c r="R429" s="9"/>
      <c r="T429" s="9"/>
      <c r="U429" s="9"/>
      <c r="X429" s="7"/>
      <c r="Y429" s="7"/>
    </row>
    <row r="430" spans="18:25" ht="13" x14ac:dyDescent="0.3">
      <c r="R430" s="9"/>
      <c r="T430" s="9"/>
      <c r="U430" s="9"/>
      <c r="X430" s="7"/>
      <c r="Y430" s="7"/>
    </row>
    <row r="431" spans="18:25" ht="13" x14ac:dyDescent="0.3">
      <c r="R431" s="9"/>
      <c r="T431" s="9"/>
      <c r="U431" s="9"/>
      <c r="X431" s="7"/>
      <c r="Y431" s="7"/>
    </row>
    <row r="432" spans="18:25" ht="13" x14ac:dyDescent="0.3">
      <c r="R432" s="9"/>
      <c r="T432" s="9"/>
      <c r="U432" s="9"/>
      <c r="X432" s="7"/>
      <c r="Y432" s="7"/>
    </row>
    <row r="433" spans="18:25" ht="13" x14ac:dyDescent="0.3">
      <c r="R433" s="9"/>
      <c r="T433" s="9"/>
      <c r="U433" s="9"/>
      <c r="X433" s="7"/>
      <c r="Y433" s="7"/>
    </row>
    <row r="434" spans="18:25" ht="13" x14ac:dyDescent="0.3">
      <c r="R434" s="9"/>
      <c r="T434" s="9"/>
      <c r="U434" s="9"/>
      <c r="X434" s="7"/>
      <c r="Y434" s="7"/>
    </row>
    <row r="435" spans="18:25" ht="13" x14ac:dyDescent="0.3">
      <c r="R435" s="9"/>
      <c r="T435" s="9"/>
      <c r="U435" s="9"/>
      <c r="X435" s="7"/>
      <c r="Y435" s="7"/>
    </row>
    <row r="436" spans="18:25" ht="13" x14ac:dyDescent="0.3">
      <c r="R436" s="9"/>
      <c r="T436" s="9"/>
      <c r="U436" s="9"/>
      <c r="X436" s="7"/>
      <c r="Y436" s="7"/>
    </row>
    <row r="437" spans="18:25" ht="13" x14ac:dyDescent="0.3">
      <c r="R437" s="9"/>
      <c r="T437" s="9"/>
      <c r="U437" s="9"/>
      <c r="X437" s="7"/>
      <c r="Y437" s="7"/>
    </row>
    <row r="438" spans="18:25" ht="13" x14ac:dyDescent="0.3">
      <c r="R438" s="9"/>
      <c r="T438" s="9"/>
      <c r="U438" s="9"/>
      <c r="X438" s="7"/>
      <c r="Y438" s="7"/>
    </row>
    <row r="439" spans="18:25" ht="13" x14ac:dyDescent="0.3">
      <c r="R439" s="9"/>
      <c r="T439" s="9"/>
      <c r="U439" s="9"/>
      <c r="X439" s="7"/>
      <c r="Y439" s="7"/>
    </row>
    <row r="440" spans="18:25" ht="13" x14ac:dyDescent="0.3">
      <c r="R440" s="9"/>
      <c r="T440" s="9"/>
      <c r="U440" s="9"/>
      <c r="X440" s="7"/>
      <c r="Y440" s="7"/>
    </row>
    <row r="441" spans="18:25" ht="13" x14ac:dyDescent="0.3">
      <c r="R441" s="9"/>
      <c r="T441" s="9"/>
      <c r="U441" s="9"/>
      <c r="X441" s="7"/>
      <c r="Y441" s="7"/>
    </row>
    <row r="442" spans="18:25" ht="13" x14ac:dyDescent="0.3">
      <c r="R442" s="9"/>
      <c r="T442" s="9"/>
      <c r="U442" s="9"/>
      <c r="X442" s="7"/>
      <c r="Y442" s="7"/>
    </row>
    <row r="443" spans="18:25" ht="13" x14ac:dyDescent="0.3">
      <c r="R443" s="9"/>
      <c r="T443" s="9"/>
      <c r="U443" s="9"/>
      <c r="X443" s="7"/>
      <c r="Y443" s="7"/>
    </row>
    <row r="444" spans="18:25" ht="13" x14ac:dyDescent="0.3">
      <c r="R444" s="9"/>
      <c r="T444" s="9"/>
      <c r="U444" s="9"/>
      <c r="X444" s="7"/>
      <c r="Y444" s="7"/>
    </row>
    <row r="445" spans="18:25" ht="13" x14ac:dyDescent="0.3">
      <c r="R445" s="9"/>
      <c r="T445" s="9"/>
      <c r="U445" s="9"/>
      <c r="X445" s="7"/>
      <c r="Y445" s="7"/>
    </row>
    <row r="446" spans="18:25" ht="13" x14ac:dyDescent="0.3">
      <c r="R446" s="9"/>
      <c r="T446" s="9"/>
      <c r="U446" s="9"/>
      <c r="X446" s="7"/>
      <c r="Y446" s="7"/>
    </row>
    <row r="447" spans="18:25" ht="13" x14ac:dyDescent="0.3">
      <c r="R447" s="9"/>
      <c r="T447" s="9"/>
      <c r="U447" s="9"/>
      <c r="X447" s="7"/>
      <c r="Y447" s="7"/>
    </row>
    <row r="448" spans="18:25" ht="13" x14ac:dyDescent="0.3">
      <c r="R448" s="9"/>
      <c r="T448" s="9"/>
      <c r="U448" s="9"/>
      <c r="X448" s="7"/>
      <c r="Y448" s="7"/>
    </row>
    <row r="449" spans="18:25" ht="13" x14ac:dyDescent="0.3">
      <c r="R449" s="9"/>
      <c r="T449" s="9"/>
      <c r="U449" s="9"/>
      <c r="X449" s="7"/>
      <c r="Y449" s="7"/>
    </row>
    <row r="450" spans="18:25" ht="13" x14ac:dyDescent="0.3">
      <c r="R450" s="9"/>
      <c r="T450" s="9"/>
      <c r="U450" s="9"/>
      <c r="X450" s="7"/>
      <c r="Y450" s="7"/>
    </row>
    <row r="451" spans="18:25" ht="13" x14ac:dyDescent="0.3">
      <c r="R451" s="9"/>
      <c r="T451" s="9"/>
      <c r="U451" s="9"/>
      <c r="X451" s="7"/>
      <c r="Y451" s="7"/>
    </row>
    <row r="452" spans="18:25" ht="13" x14ac:dyDescent="0.3">
      <c r="R452" s="9"/>
      <c r="T452" s="9"/>
      <c r="U452" s="9"/>
      <c r="X452" s="7"/>
      <c r="Y452" s="7"/>
    </row>
    <row r="453" spans="18:25" ht="13" x14ac:dyDescent="0.3">
      <c r="R453" s="9"/>
      <c r="T453" s="9"/>
      <c r="U453" s="9"/>
      <c r="X453" s="7"/>
      <c r="Y453" s="7"/>
    </row>
    <row r="454" spans="18:25" ht="13" x14ac:dyDescent="0.3">
      <c r="R454" s="9"/>
      <c r="T454" s="9"/>
      <c r="U454" s="9"/>
      <c r="X454" s="7"/>
      <c r="Y454" s="7"/>
    </row>
    <row r="455" spans="18:25" ht="13" x14ac:dyDescent="0.3">
      <c r="R455" s="9"/>
      <c r="T455" s="9"/>
      <c r="U455" s="9"/>
      <c r="X455" s="7"/>
      <c r="Y455" s="7"/>
    </row>
    <row r="456" spans="18:25" ht="13" x14ac:dyDescent="0.3">
      <c r="R456" s="9"/>
      <c r="T456" s="9"/>
      <c r="U456" s="9"/>
      <c r="X456" s="7"/>
      <c r="Y456" s="7"/>
    </row>
    <row r="457" spans="18:25" ht="13" x14ac:dyDescent="0.3">
      <c r="R457" s="9"/>
      <c r="T457" s="9"/>
      <c r="U457" s="9"/>
      <c r="X457" s="7"/>
      <c r="Y457" s="7"/>
    </row>
    <row r="458" spans="18:25" ht="13" x14ac:dyDescent="0.3">
      <c r="R458" s="9"/>
      <c r="T458" s="9"/>
      <c r="U458" s="9"/>
      <c r="X458" s="7"/>
      <c r="Y458" s="7"/>
    </row>
    <row r="459" spans="18:25" ht="13" x14ac:dyDescent="0.3">
      <c r="R459" s="9"/>
      <c r="T459" s="9"/>
      <c r="U459" s="9"/>
      <c r="X459" s="7"/>
      <c r="Y459" s="7"/>
    </row>
    <row r="460" spans="18:25" ht="13" x14ac:dyDescent="0.3">
      <c r="R460" s="9"/>
      <c r="T460" s="9"/>
      <c r="U460" s="9"/>
      <c r="X460" s="7"/>
      <c r="Y460" s="7"/>
    </row>
    <row r="461" spans="18:25" ht="13" x14ac:dyDescent="0.3">
      <c r="R461" s="9"/>
      <c r="T461" s="9"/>
      <c r="U461" s="9"/>
      <c r="X461" s="7"/>
      <c r="Y461" s="7"/>
    </row>
    <row r="462" spans="18:25" ht="13" x14ac:dyDescent="0.3">
      <c r="R462" s="9"/>
      <c r="T462" s="9"/>
      <c r="U462" s="9"/>
      <c r="X462" s="7"/>
      <c r="Y462" s="7"/>
    </row>
    <row r="463" spans="18:25" ht="13" x14ac:dyDescent="0.3">
      <c r="R463" s="9"/>
      <c r="T463" s="9"/>
      <c r="U463" s="9"/>
      <c r="X463" s="7"/>
      <c r="Y463" s="7"/>
    </row>
    <row r="464" spans="18:25" ht="13" x14ac:dyDescent="0.3">
      <c r="R464" s="9"/>
      <c r="T464" s="9"/>
      <c r="U464" s="9"/>
      <c r="X464" s="7"/>
      <c r="Y464" s="7"/>
    </row>
    <row r="465" spans="18:25" ht="13" x14ac:dyDescent="0.3">
      <c r="R465" s="9"/>
      <c r="T465" s="9"/>
      <c r="U465" s="9"/>
      <c r="X465" s="7"/>
      <c r="Y465" s="7"/>
    </row>
    <row r="466" spans="18:25" ht="13" x14ac:dyDescent="0.3">
      <c r="R466" s="9"/>
      <c r="T466" s="9"/>
      <c r="U466" s="9"/>
      <c r="X466" s="7"/>
      <c r="Y466" s="7"/>
    </row>
    <row r="467" spans="18:25" ht="13" x14ac:dyDescent="0.3">
      <c r="R467" s="9"/>
      <c r="T467" s="9"/>
      <c r="U467" s="9"/>
      <c r="X467" s="7"/>
      <c r="Y467" s="7"/>
    </row>
    <row r="468" spans="18:25" ht="13" x14ac:dyDescent="0.3">
      <c r="R468" s="9"/>
      <c r="T468" s="9"/>
      <c r="U468" s="9"/>
      <c r="X468" s="7"/>
      <c r="Y468" s="7"/>
    </row>
    <row r="469" spans="18:25" ht="13" x14ac:dyDescent="0.3">
      <c r="R469" s="9"/>
      <c r="T469" s="9"/>
      <c r="U469" s="9"/>
      <c r="X469" s="7"/>
      <c r="Y469" s="7"/>
    </row>
    <row r="470" spans="18:25" ht="13" x14ac:dyDescent="0.3">
      <c r="R470" s="9"/>
      <c r="T470" s="9"/>
      <c r="U470" s="9"/>
      <c r="X470" s="7"/>
      <c r="Y470" s="7"/>
    </row>
    <row r="471" spans="18:25" ht="13" x14ac:dyDescent="0.3">
      <c r="R471" s="9"/>
      <c r="T471" s="9"/>
      <c r="U471" s="9"/>
      <c r="X471" s="7"/>
      <c r="Y471" s="7"/>
    </row>
    <row r="472" spans="18:25" ht="13" x14ac:dyDescent="0.3">
      <c r="R472" s="9"/>
      <c r="T472" s="9"/>
      <c r="U472" s="9"/>
      <c r="X472" s="7"/>
      <c r="Y472" s="7"/>
    </row>
    <row r="473" spans="18:25" ht="13" x14ac:dyDescent="0.3">
      <c r="R473" s="9"/>
      <c r="T473" s="9"/>
      <c r="U473" s="9"/>
      <c r="X473" s="7"/>
      <c r="Y473" s="7"/>
    </row>
    <row r="474" spans="18:25" ht="13" x14ac:dyDescent="0.3">
      <c r="R474" s="9"/>
      <c r="T474" s="9"/>
      <c r="U474" s="9"/>
      <c r="X474" s="7"/>
      <c r="Y474" s="7"/>
    </row>
    <row r="475" spans="18:25" ht="13" x14ac:dyDescent="0.3">
      <c r="R475" s="9"/>
      <c r="T475" s="9"/>
      <c r="U475" s="9"/>
      <c r="X475" s="7"/>
      <c r="Y475" s="7"/>
    </row>
    <row r="476" spans="18:25" ht="13" x14ac:dyDescent="0.3">
      <c r="R476" s="9"/>
      <c r="T476" s="9"/>
      <c r="U476" s="9"/>
      <c r="X476" s="7"/>
      <c r="Y476" s="7"/>
    </row>
    <row r="477" spans="18:25" ht="13" x14ac:dyDescent="0.3">
      <c r="R477" s="9"/>
      <c r="T477" s="9"/>
      <c r="U477" s="9"/>
      <c r="X477" s="7"/>
      <c r="Y477" s="7"/>
    </row>
    <row r="478" spans="18:25" ht="13" x14ac:dyDescent="0.3">
      <c r="R478" s="9"/>
      <c r="T478" s="9"/>
      <c r="U478" s="9"/>
      <c r="X478" s="7"/>
      <c r="Y478" s="7"/>
    </row>
    <row r="479" spans="18:25" ht="13" x14ac:dyDescent="0.3">
      <c r="R479" s="9"/>
      <c r="T479" s="9"/>
      <c r="U479" s="9"/>
      <c r="X479" s="7"/>
      <c r="Y479" s="7"/>
    </row>
    <row r="480" spans="18:25" ht="13" x14ac:dyDescent="0.3">
      <c r="R480" s="9"/>
      <c r="T480" s="9"/>
      <c r="U480" s="9"/>
      <c r="X480" s="7"/>
      <c r="Y480" s="7"/>
    </row>
    <row r="481" spans="18:25" ht="13" x14ac:dyDescent="0.3">
      <c r="R481" s="9"/>
      <c r="T481" s="9"/>
      <c r="U481" s="9"/>
      <c r="X481" s="7"/>
      <c r="Y481" s="7"/>
    </row>
    <row r="482" spans="18:25" ht="13" x14ac:dyDescent="0.3">
      <c r="R482" s="9"/>
      <c r="T482" s="9"/>
      <c r="U482" s="9"/>
      <c r="X482" s="7"/>
      <c r="Y482" s="7"/>
    </row>
    <row r="483" spans="18:25" ht="13" x14ac:dyDescent="0.3">
      <c r="R483" s="9"/>
      <c r="T483" s="9"/>
      <c r="U483" s="9"/>
      <c r="X483" s="7"/>
      <c r="Y483" s="7"/>
    </row>
    <row r="484" spans="18:25" ht="13" x14ac:dyDescent="0.3">
      <c r="R484" s="9"/>
      <c r="T484" s="9"/>
      <c r="U484" s="9"/>
      <c r="X484" s="7"/>
      <c r="Y484" s="7"/>
    </row>
    <row r="485" spans="18:25" ht="13" x14ac:dyDescent="0.3">
      <c r="R485" s="9"/>
      <c r="T485" s="9"/>
      <c r="U485" s="9"/>
      <c r="X485" s="7"/>
      <c r="Y485" s="7"/>
    </row>
    <row r="486" spans="18:25" ht="13" x14ac:dyDescent="0.3">
      <c r="R486" s="9"/>
      <c r="T486" s="9"/>
      <c r="U486" s="9"/>
      <c r="X486" s="7"/>
      <c r="Y486" s="7"/>
    </row>
    <row r="487" spans="18:25" ht="13" x14ac:dyDescent="0.3">
      <c r="R487" s="9"/>
      <c r="T487" s="9"/>
      <c r="U487" s="9"/>
      <c r="X487" s="7"/>
      <c r="Y487" s="7"/>
    </row>
    <row r="488" spans="18:25" ht="13" x14ac:dyDescent="0.3">
      <c r="R488" s="9"/>
      <c r="T488" s="9"/>
      <c r="U488" s="9"/>
      <c r="X488" s="7"/>
      <c r="Y488" s="7"/>
    </row>
    <row r="489" spans="18:25" ht="13" x14ac:dyDescent="0.3">
      <c r="R489" s="9"/>
      <c r="T489" s="9"/>
      <c r="U489" s="9"/>
      <c r="X489" s="7"/>
      <c r="Y489" s="7"/>
    </row>
    <row r="490" spans="18:25" ht="13" x14ac:dyDescent="0.3">
      <c r="R490" s="9"/>
      <c r="T490" s="9"/>
      <c r="U490" s="9"/>
      <c r="X490" s="7"/>
      <c r="Y490" s="7"/>
    </row>
    <row r="491" spans="18:25" ht="13" x14ac:dyDescent="0.3">
      <c r="R491" s="9"/>
      <c r="T491" s="9"/>
      <c r="U491" s="9"/>
      <c r="X491" s="7"/>
      <c r="Y491" s="7"/>
    </row>
    <row r="492" spans="18:25" ht="13" x14ac:dyDescent="0.3">
      <c r="R492" s="9"/>
      <c r="T492" s="9"/>
      <c r="U492" s="9"/>
      <c r="X492" s="7"/>
      <c r="Y492" s="7"/>
    </row>
    <row r="493" spans="18:25" ht="13" x14ac:dyDescent="0.3">
      <c r="R493" s="9"/>
      <c r="T493" s="9"/>
      <c r="U493" s="9"/>
      <c r="X493" s="7"/>
      <c r="Y493" s="7"/>
    </row>
    <row r="494" spans="18:25" ht="13" x14ac:dyDescent="0.3">
      <c r="R494" s="9"/>
      <c r="T494" s="9"/>
      <c r="U494" s="9"/>
      <c r="X494" s="7"/>
      <c r="Y494" s="7"/>
    </row>
    <row r="495" spans="18:25" ht="13" x14ac:dyDescent="0.3">
      <c r="R495" s="9"/>
      <c r="T495" s="9"/>
      <c r="U495" s="9"/>
      <c r="X495" s="7"/>
      <c r="Y495" s="7"/>
    </row>
    <row r="496" spans="18:25" ht="13" x14ac:dyDescent="0.3">
      <c r="R496" s="9"/>
      <c r="T496" s="9"/>
      <c r="U496" s="9"/>
      <c r="X496" s="7"/>
      <c r="Y496" s="7"/>
    </row>
    <row r="497" spans="18:25" ht="13" x14ac:dyDescent="0.3">
      <c r="R497" s="9"/>
      <c r="T497" s="9"/>
      <c r="U497" s="9"/>
      <c r="X497" s="7"/>
      <c r="Y497" s="7"/>
    </row>
    <row r="498" spans="18:25" ht="13" x14ac:dyDescent="0.3">
      <c r="R498" s="9"/>
      <c r="T498" s="9"/>
      <c r="U498" s="9"/>
      <c r="X498" s="7"/>
      <c r="Y498" s="7"/>
    </row>
    <row r="499" spans="18:25" ht="13" x14ac:dyDescent="0.3">
      <c r="R499" s="9"/>
      <c r="T499" s="9"/>
      <c r="U499" s="9"/>
      <c r="X499" s="7"/>
      <c r="Y499" s="7"/>
    </row>
    <row r="500" spans="18:25" ht="13" x14ac:dyDescent="0.3">
      <c r="R500" s="9"/>
      <c r="T500" s="9"/>
      <c r="U500" s="9"/>
      <c r="X500" s="7"/>
      <c r="Y500" s="7"/>
    </row>
    <row r="501" spans="18:25" ht="13" x14ac:dyDescent="0.3">
      <c r="R501" s="9"/>
      <c r="T501" s="9"/>
      <c r="U501" s="9"/>
      <c r="X501" s="7"/>
      <c r="Y501" s="7"/>
    </row>
    <row r="502" spans="18:25" ht="13" x14ac:dyDescent="0.3">
      <c r="R502" s="9"/>
      <c r="T502" s="9"/>
      <c r="U502" s="9"/>
      <c r="X502" s="7"/>
      <c r="Y502" s="7"/>
    </row>
    <row r="503" spans="18:25" ht="13" x14ac:dyDescent="0.3">
      <c r="R503" s="9"/>
      <c r="T503" s="9"/>
      <c r="U503" s="9"/>
      <c r="X503" s="7"/>
      <c r="Y503" s="7"/>
    </row>
    <row r="504" spans="18:25" ht="13" x14ac:dyDescent="0.3">
      <c r="R504" s="9"/>
      <c r="T504" s="9"/>
      <c r="U504" s="9"/>
      <c r="X504" s="7"/>
      <c r="Y504" s="7"/>
    </row>
    <row r="505" spans="18:25" ht="13" x14ac:dyDescent="0.3">
      <c r="R505" s="9"/>
      <c r="T505" s="9"/>
      <c r="U505" s="9"/>
      <c r="X505" s="7"/>
      <c r="Y505" s="7"/>
    </row>
    <row r="506" spans="18:25" ht="13" x14ac:dyDescent="0.3">
      <c r="R506" s="9"/>
      <c r="T506" s="9"/>
      <c r="U506" s="9"/>
      <c r="X506" s="7"/>
      <c r="Y506" s="7"/>
    </row>
    <row r="507" spans="18:25" ht="13" x14ac:dyDescent="0.3">
      <c r="R507" s="9"/>
      <c r="T507" s="9"/>
      <c r="U507" s="9"/>
      <c r="X507" s="7"/>
      <c r="Y507" s="7"/>
    </row>
    <row r="508" spans="18:25" ht="13" x14ac:dyDescent="0.3">
      <c r="R508" s="9"/>
      <c r="T508" s="9"/>
      <c r="U508" s="9"/>
      <c r="X508" s="7"/>
      <c r="Y508" s="7"/>
    </row>
    <row r="509" spans="18:25" ht="13" x14ac:dyDescent="0.3">
      <c r="R509" s="9"/>
      <c r="T509" s="9"/>
      <c r="U509" s="9"/>
      <c r="X509" s="7"/>
      <c r="Y509" s="7"/>
    </row>
    <row r="510" spans="18:25" ht="13" x14ac:dyDescent="0.3">
      <c r="R510" s="9"/>
      <c r="T510" s="9"/>
      <c r="U510" s="9"/>
      <c r="X510" s="7"/>
      <c r="Y510" s="7"/>
    </row>
    <row r="511" spans="18:25" ht="13" x14ac:dyDescent="0.3">
      <c r="R511" s="9"/>
      <c r="T511" s="9"/>
      <c r="U511" s="9"/>
      <c r="X511" s="7"/>
      <c r="Y511" s="7"/>
    </row>
    <row r="512" spans="18:25" ht="13" x14ac:dyDescent="0.3">
      <c r="R512" s="9"/>
      <c r="T512" s="9"/>
      <c r="U512" s="9"/>
      <c r="X512" s="7"/>
      <c r="Y512" s="7"/>
    </row>
    <row r="513" spans="18:25" ht="13" x14ac:dyDescent="0.3">
      <c r="R513" s="9"/>
      <c r="T513" s="9"/>
      <c r="U513" s="9"/>
      <c r="X513" s="7"/>
      <c r="Y513" s="7"/>
    </row>
    <row r="514" spans="18:25" ht="13" x14ac:dyDescent="0.3">
      <c r="R514" s="9"/>
      <c r="T514" s="9"/>
      <c r="U514" s="9"/>
      <c r="X514" s="7"/>
      <c r="Y514" s="7"/>
    </row>
    <row r="515" spans="18:25" ht="13" x14ac:dyDescent="0.3">
      <c r="R515" s="9"/>
      <c r="T515" s="9"/>
      <c r="U515" s="9"/>
      <c r="X515" s="7"/>
      <c r="Y515" s="7"/>
    </row>
    <row r="516" spans="18:25" ht="13" x14ac:dyDescent="0.3">
      <c r="R516" s="9"/>
      <c r="T516" s="9"/>
      <c r="U516" s="9"/>
      <c r="X516" s="7"/>
      <c r="Y516" s="7"/>
    </row>
    <row r="517" spans="18:25" ht="13" x14ac:dyDescent="0.3">
      <c r="R517" s="9"/>
      <c r="T517" s="9"/>
      <c r="U517" s="9"/>
      <c r="X517" s="7"/>
      <c r="Y517" s="7"/>
    </row>
    <row r="518" spans="18:25" ht="13" x14ac:dyDescent="0.3">
      <c r="R518" s="9"/>
      <c r="T518" s="9"/>
      <c r="U518" s="9"/>
      <c r="X518" s="7"/>
      <c r="Y518" s="7"/>
    </row>
    <row r="519" spans="18:25" ht="13" x14ac:dyDescent="0.3">
      <c r="R519" s="9"/>
      <c r="T519" s="9"/>
      <c r="U519" s="9"/>
      <c r="X519" s="7"/>
      <c r="Y519" s="7"/>
    </row>
    <row r="520" spans="18:25" ht="13" x14ac:dyDescent="0.3">
      <c r="R520" s="9"/>
      <c r="T520" s="9"/>
      <c r="U520" s="9"/>
      <c r="X520" s="7"/>
      <c r="Y520" s="7"/>
    </row>
    <row r="521" spans="18:25" ht="13" x14ac:dyDescent="0.3">
      <c r="R521" s="9"/>
      <c r="T521" s="9"/>
      <c r="U521" s="9"/>
      <c r="X521" s="7"/>
      <c r="Y521" s="7"/>
    </row>
    <row r="522" spans="18:25" ht="13" x14ac:dyDescent="0.3">
      <c r="R522" s="9"/>
      <c r="T522" s="9"/>
      <c r="U522" s="9"/>
      <c r="X522" s="7"/>
      <c r="Y522" s="7"/>
    </row>
    <row r="523" spans="18:25" ht="13" x14ac:dyDescent="0.3">
      <c r="R523" s="9"/>
      <c r="T523" s="9"/>
      <c r="U523" s="9"/>
      <c r="X523" s="7"/>
      <c r="Y523" s="7"/>
    </row>
    <row r="524" spans="18:25" ht="13" x14ac:dyDescent="0.3">
      <c r="R524" s="9"/>
      <c r="T524" s="9"/>
      <c r="U524" s="9"/>
      <c r="X524" s="7"/>
      <c r="Y524" s="7"/>
    </row>
    <row r="525" spans="18:25" ht="13" x14ac:dyDescent="0.3">
      <c r="R525" s="9"/>
      <c r="T525" s="9"/>
      <c r="U525" s="9"/>
      <c r="X525" s="7"/>
      <c r="Y525" s="7"/>
    </row>
    <row r="526" spans="18:25" ht="13" x14ac:dyDescent="0.3">
      <c r="R526" s="9"/>
      <c r="T526" s="9"/>
      <c r="U526" s="9"/>
      <c r="X526" s="7"/>
      <c r="Y526" s="7"/>
    </row>
    <row r="527" spans="18:25" ht="13" x14ac:dyDescent="0.3">
      <c r="R527" s="9"/>
      <c r="T527" s="9"/>
      <c r="U527" s="9"/>
      <c r="X527" s="7"/>
      <c r="Y527" s="7"/>
    </row>
    <row r="528" spans="18:25" ht="13" x14ac:dyDescent="0.3">
      <c r="R528" s="9"/>
      <c r="T528" s="9"/>
      <c r="U528" s="9"/>
      <c r="X528" s="7"/>
      <c r="Y528" s="7"/>
    </row>
    <row r="529" spans="18:25" ht="13" x14ac:dyDescent="0.3">
      <c r="R529" s="9"/>
      <c r="T529" s="9"/>
      <c r="U529" s="9"/>
      <c r="X529" s="7"/>
      <c r="Y529" s="7"/>
    </row>
    <row r="530" spans="18:25" ht="13" x14ac:dyDescent="0.3">
      <c r="R530" s="9"/>
      <c r="T530" s="9"/>
      <c r="U530" s="9"/>
      <c r="X530" s="7"/>
      <c r="Y530" s="7"/>
    </row>
    <row r="531" spans="18:25" ht="13" x14ac:dyDescent="0.3">
      <c r="R531" s="9"/>
      <c r="T531" s="9"/>
      <c r="U531" s="9"/>
      <c r="X531" s="7"/>
      <c r="Y531" s="7"/>
    </row>
    <row r="532" spans="18:25" ht="13" x14ac:dyDescent="0.3">
      <c r="R532" s="9"/>
      <c r="T532" s="9"/>
      <c r="U532" s="9"/>
      <c r="X532" s="7"/>
      <c r="Y532" s="7"/>
    </row>
    <row r="533" spans="18:25" ht="13" x14ac:dyDescent="0.3">
      <c r="R533" s="9"/>
      <c r="T533" s="9"/>
      <c r="U533" s="9"/>
      <c r="X533" s="7"/>
      <c r="Y533" s="7"/>
    </row>
    <row r="534" spans="18:25" ht="13" x14ac:dyDescent="0.3">
      <c r="R534" s="9"/>
      <c r="T534" s="9"/>
      <c r="U534" s="9"/>
      <c r="X534" s="7"/>
      <c r="Y534" s="7"/>
    </row>
    <row r="535" spans="18:25" ht="13" x14ac:dyDescent="0.3">
      <c r="R535" s="9"/>
      <c r="T535" s="9"/>
      <c r="U535" s="9"/>
      <c r="X535" s="7"/>
      <c r="Y535" s="7"/>
    </row>
    <row r="536" spans="18:25" ht="13" x14ac:dyDescent="0.3">
      <c r="R536" s="9"/>
      <c r="T536" s="9"/>
      <c r="U536" s="9"/>
      <c r="X536" s="7"/>
      <c r="Y536" s="7"/>
    </row>
    <row r="537" spans="18:25" ht="13" x14ac:dyDescent="0.3">
      <c r="R537" s="9"/>
      <c r="T537" s="9"/>
      <c r="U537" s="9"/>
      <c r="X537" s="7"/>
      <c r="Y537" s="7"/>
    </row>
    <row r="538" spans="18:25" ht="13" x14ac:dyDescent="0.3">
      <c r="R538" s="9"/>
      <c r="T538" s="9"/>
      <c r="U538" s="9"/>
      <c r="X538" s="7"/>
      <c r="Y538" s="7"/>
    </row>
    <row r="539" spans="18:25" ht="13" x14ac:dyDescent="0.3">
      <c r="R539" s="9"/>
      <c r="T539" s="9"/>
      <c r="U539" s="9"/>
      <c r="X539" s="7"/>
      <c r="Y539" s="7"/>
    </row>
    <row r="540" spans="18:25" ht="13" x14ac:dyDescent="0.3">
      <c r="R540" s="9"/>
      <c r="T540" s="9"/>
      <c r="U540" s="9"/>
      <c r="X540" s="7"/>
      <c r="Y540" s="7"/>
    </row>
    <row r="541" spans="18:25" ht="13" x14ac:dyDescent="0.3">
      <c r="R541" s="9"/>
      <c r="T541" s="9"/>
      <c r="U541" s="9"/>
      <c r="X541" s="7"/>
      <c r="Y541" s="7"/>
    </row>
    <row r="542" spans="18:25" ht="13" x14ac:dyDescent="0.3">
      <c r="R542" s="9"/>
      <c r="T542" s="9"/>
      <c r="U542" s="9"/>
      <c r="X542" s="7"/>
      <c r="Y542" s="7"/>
    </row>
    <row r="543" spans="18:25" ht="13" x14ac:dyDescent="0.3">
      <c r="R543" s="9"/>
      <c r="T543" s="9"/>
      <c r="U543" s="9"/>
      <c r="X543" s="7"/>
      <c r="Y543" s="7"/>
    </row>
    <row r="544" spans="18:25" ht="13" x14ac:dyDescent="0.3">
      <c r="R544" s="9"/>
      <c r="T544" s="9"/>
      <c r="U544" s="9"/>
      <c r="X544" s="7"/>
      <c r="Y544" s="7"/>
    </row>
    <row r="545" spans="18:25" ht="13" x14ac:dyDescent="0.3">
      <c r="R545" s="9"/>
      <c r="T545" s="9"/>
      <c r="U545" s="9"/>
      <c r="X545" s="7"/>
      <c r="Y545" s="7"/>
    </row>
    <row r="546" spans="18:25" ht="13" x14ac:dyDescent="0.3">
      <c r="R546" s="9"/>
      <c r="T546" s="9"/>
      <c r="U546" s="9"/>
      <c r="X546" s="7"/>
      <c r="Y546" s="7"/>
    </row>
    <row r="547" spans="18:25" ht="13" x14ac:dyDescent="0.3">
      <c r="R547" s="9"/>
      <c r="T547" s="9"/>
      <c r="U547" s="9"/>
      <c r="X547" s="7"/>
      <c r="Y547" s="7"/>
    </row>
    <row r="548" spans="18:25" ht="13" x14ac:dyDescent="0.3">
      <c r="R548" s="9"/>
      <c r="T548" s="9"/>
      <c r="U548" s="9"/>
      <c r="X548" s="7"/>
      <c r="Y548" s="7"/>
    </row>
    <row r="549" spans="18:25" ht="13" x14ac:dyDescent="0.3">
      <c r="R549" s="9"/>
      <c r="T549" s="9"/>
      <c r="U549" s="9"/>
      <c r="X549" s="7"/>
      <c r="Y549" s="7"/>
    </row>
    <row r="550" spans="18:25" ht="13" x14ac:dyDescent="0.3">
      <c r="R550" s="9"/>
      <c r="T550" s="9"/>
      <c r="U550" s="9"/>
      <c r="X550" s="7"/>
      <c r="Y550" s="7"/>
    </row>
    <row r="551" spans="18:25" ht="13" x14ac:dyDescent="0.3">
      <c r="R551" s="9"/>
      <c r="T551" s="9"/>
      <c r="U551" s="9"/>
      <c r="X551" s="7"/>
      <c r="Y551" s="7"/>
    </row>
    <row r="552" spans="18:25" ht="13" x14ac:dyDescent="0.3">
      <c r="R552" s="9"/>
      <c r="T552" s="9"/>
      <c r="U552" s="9"/>
      <c r="X552" s="7"/>
      <c r="Y552" s="7"/>
    </row>
    <row r="553" spans="18:25" ht="13" x14ac:dyDescent="0.3">
      <c r="R553" s="9"/>
      <c r="T553" s="9"/>
      <c r="U553" s="9"/>
      <c r="X553" s="7"/>
      <c r="Y553" s="7"/>
    </row>
    <row r="554" spans="18:25" ht="13" x14ac:dyDescent="0.3">
      <c r="R554" s="9"/>
      <c r="T554" s="9"/>
      <c r="U554" s="9"/>
      <c r="X554" s="7"/>
      <c r="Y554" s="7"/>
    </row>
    <row r="555" spans="18:25" ht="13" x14ac:dyDescent="0.3">
      <c r="R555" s="9"/>
      <c r="T555" s="9"/>
      <c r="U555" s="9"/>
      <c r="X555" s="7"/>
      <c r="Y555" s="7"/>
    </row>
    <row r="556" spans="18:25" ht="13" x14ac:dyDescent="0.3">
      <c r="R556" s="9"/>
      <c r="T556" s="9"/>
      <c r="U556" s="9"/>
      <c r="X556" s="7"/>
      <c r="Y556" s="7"/>
    </row>
    <row r="557" spans="18:25" ht="13" x14ac:dyDescent="0.3">
      <c r="R557" s="9"/>
      <c r="T557" s="9"/>
      <c r="U557" s="9"/>
      <c r="X557" s="7"/>
      <c r="Y557" s="7"/>
    </row>
    <row r="558" spans="18:25" ht="13" x14ac:dyDescent="0.3">
      <c r="R558" s="9"/>
      <c r="T558" s="9"/>
      <c r="U558" s="9"/>
      <c r="X558" s="7"/>
      <c r="Y558" s="7"/>
    </row>
    <row r="559" spans="18:25" ht="13" x14ac:dyDescent="0.3">
      <c r="R559" s="9"/>
      <c r="T559" s="9"/>
      <c r="U559" s="9"/>
      <c r="X559" s="7"/>
      <c r="Y559" s="7"/>
    </row>
    <row r="560" spans="18:25" ht="13" x14ac:dyDescent="0.3">
      <c r="R560" s="9"/>
      <c r="T560" s="9"/>
      <c r="U560" s="9"/>
      <c r="X560" s="7"/>
      <c r="Y560" s="7"/>
    </row>
    <row r="561" spans="18:25" ht="13" x14ac:dyDescent="0.3">
      <c r="R561" s="9"/>
      <c r="T561" s="9"/>
      <c r="U561" s="9"/>
      <c r="X561" s="7"/>
      <c r="Y561" s="7"/>
    </row>
    <row r="562" spans="18:25" ht="13" x14ac:dyDescent="0.3">
      <c r="R562" s="9"/>
      <c r="T562" s="9"/>
      <c r="U562" s="9"/>
      <c r="X562" s="7"/>
      <c r="Y562" s="7"/>
    </row>
    <row r="563" spans="18:25" ht="13" x14ac:dyDescent="0.3">
      <c r="R563" s="9"/>
      <c r="T563" s="9"/>
      <c r="U563" s="9"/>
      <c r="X563" s="7"/>
      <c r="Y563" s="7"/>
    </row>
    <row r="564" spans="18:25" ht="13" x14ac:dyDescent="0.3">
      <c r="R564" s="9"/>
      <c r="T564" s="9"/>
      <c r="U564" s="9"/>
      <c r="X564" s="7"/>
      <c r="Y564" s="7"/>
    </row>
    <row r="565" spans="18:25" ht="13" x14ac:dyDescent="0.3">
      <c r="R565" s="9"/>
      <c r="T565" s="9"/>
      <c r="U565" s="9"/>
      <c r="X565" s="7"/>
      <c r="Y565" s="7"/>
    </row>
    <row r="566" spans="18:25" ht="13" x14ac:dyDescent="0.3">
      <c r="R566" s="9"/>
      <c r="T566" s="9"/>
      <c r="U566" s="9"/>
      <c r="X566" s="7"/>
      <c r="Y566" s="7"/>
    </row>
    <row r="567" spans="18:25" ht="13" x14ac:dyDescent="0.3">
      <c r="R567" s="9"/>
      <c r="T567" s="9"/>
      <c r="U567" s="9"/>
      <c r="X567" s="7"/>
      <c r="Y567" s="7"/>
    </row>
    <row r="568" spans="18:25" ht="13" x14ac:dyDescent="0.3">
      <c r="R568" s="9"/>
      <c r="T568" s="9"/>
      <c r="U568" s="9"/>
      <c r="X568" s="7"/>
      <c r="Y568" s="7"/>
    </row>
    <row r="569" spans="18:25" ht="13" x14ac:dyDescent="0.3">
      <c r="R569" s="9"/>
      <c r="T569" s="9"/>
      <c r="U569" s="9"/>
      <c r="X569" s="7"/>
      <c r="Y569" s="7"/>
    </row>
    <row r="570" spans="18:25" ht="13" x14ac:dyDescent="0.3">
      <c r="R570" s="9"/>
      <c r="T570" s="9"/>
      <c r="U570" s="9"/>
      <c r="X570" s="7"/>
      <c r="Y570" s="7"/>
    </row>
    <row r="571" spans="18:25" ht="13" x14ac:dyDescent="0.3">
      <c r="R571" s="9"/>
      <c r="T571" s="9"/>
      <c r="U571" s="9"/>
      <c r="X571" s="7"/>
      <c r="Y571" s="7"/>
    </row>
    <row r="572" spans="18:25" ht="13" x14ac:dyDescent="0.3">
      <c r="R572" s="9"/>
      <c r="T572" s="9"/>
      <c r="U572" s="9"/>
      <c r="X572" s="7"/>
      <c r="Y572" s="7"/>
    </row>
    <row r="573" spans="18:25" ht="13" x14ac:dyDescent="0.3">
      <c r="R573" s="9"/>
      <c r="T573" s="9"/>
      <c r="U573" s="9"/>
      <c r="X573" s="7"/>
      <c r="Y573" s="7"/>
    </row>
    <row r="574" spans="18:25" ht="13" x14ac:dyDescent="0.3">
      <c r="R574" s="9"/>
      <c r="T574" s="9"/>
      <c r="U574" s="9"/>
      <c r="X574" s="7"/>
      <c r="Y574" s="7"/>
    </row>
    <row r="575" spans="18:25" ht="13" x14ac:dyDescent="0.3">
      <c r="R575" s="9"/>
      <c r="T575" s="9"/>
      <c r="U575" s="9"/>
      <c r="X575" s="7"/>
      <c r="Y575" s="7"/>
    </row>
    <row r="576" spans="18:25" ht="13" x14ac:dyDescent="0.3">
      <c r="R576" s="9"/>
      <c r="T576" s="9"/>
      <c r="U576" s="9"/>
      <c r="X576" s="7"/>
      <c r="Y576" s="7"/>
    </row>
    <row r="577" spans="18:25" ht="13" x14ac:dyDescent="0.3">
      <c r="R577" s="9"/>
      <c r="T577" s="9"/>
      <c r="U577" s="9"/>
      <c r="X577" s="7"/>
      <c r="Y577" s="7"/>
    </row>
    <row r="578" spans="18:25" ht="13" x14ac:dyDescent="0.3">
      <c r="R578" s="9"/>
      <c r="T578" s="9"/>
      <c r="U578" s="9"/>
      <c r="X578" s="7"/>
      <c r="Y578" s="7"/>
    </row>
    <row r="579" spans="18:25" ht="13" x14ac:dyDescent="0.3">
      <c r="R579" s="9"/>
      <c r="T579" s="9"/>
      <c r="U579" s="9"/>
      <c r="X579" s="7"/>
      <c r="Y579" s="7"/>
    </row>
    <row r="580" spans="18:25" ht="13" x14ac:dyDescent="0.3">
      <c r="R580" s="9"/>
      <c r="T580" s="9"/>
      <c r="U580" s="9"/>
      <c r="X580" s="7"/>
      <c r="Y580" s="7"/>
    </row>
    <row r="581" spans="18:25" ht="13" x14ac:dyDescent="0.3">
      <c r="R581" s="9"/>
      <c r="T581" s="9"/>
      <c r="U581" s="9"/>
      <c r="X581" s="7"/>
      <c r="Y581" s="7"/>
    </row>
    <row r="582" spans="18:25" ht="13" x14ac:dyDescent="0.3">
      <c r="R582" s="9"/>
      <c r="T582" s="9"/>
      <c r="U582" s="9"/>
      <c r="X582" s="7"/>
      <c r="Y582" s="7"/>
    </row>
    <row r="583" spans="18:25" ht="13" x14ac:dyDescent="0.3">
      <c r="R583" s="9"/>
      <c r="T583" s="9"/>
      <c r="U583" s="9"/>
      <c r="X583" s="7"/>
      <c r="Y583" s="7"/>
    </row>
    <row r="584" spans="18:25" ht="13" x14ac:dyDescent="0.3">
      <c r="R584" s="9"/>
      <c r="T584" s="9"/>
      <c r="U584" s="9"/>
      <c r="X584" s="7"/>
      <c r="Y584" s="7"/>
    </row>
    <row r="585" spans="18:25" ht="13" x14ac:dyDescent="0.3">
      <c r="R585" s="9"/>
      <c r="T585" s="9"/>
      <c r="U585" s="9"/>
      <c r="X585" s="7"/>
      <c r="Y585" s="7"/>
    </row>
    <row r="586" spans="18:25" ht="13" x14ac:dyDescent="0.3">
      <c r="R586" s="9"/>
      <c r="T586" s="9"/>
      <c r="U586" s="9"/>
      <c r="X586" s="7"/>
      <c r="Y586" s="7"/>
    </row>
    <row r="587" spans="18:25" ht="13" x14ac:dyDescent="0.3">
      <c r="R587" s="9"/>
      <c r="T587" s="9"/>
      <c r="U587" s="9"/>
      <c r="X587" s="7"/>
      <c r="Y587" s="7"/>
    </row>
    <row r="588" spans="18:25" ht="13" x14ac:dyDescent="0.3">
      <c r="R588" s="9"/>
      <c r="T588" s="9"/>
      <c r="U588" s="9"/>
      <c r="X588" s="7"/>
      <c r="Y588" s="7"/>
    </row>
    <row r="589" spans="18:25" ht="13" x14ac:dyDescent="0.3">
      <c r="R589" s="9"/>
      <c r="T589" s="9"/>
      <c r="U589" s="9"/>
      <c r="X589" s="7"/>
      <c r="Y589" s="7"/>
    </row>
    <row r="590" spans="18:25" ht="13" x14ac:dyDescent="0.3">
      <c r="R590" s="9"/>
      <c r="T590" s="9"/>
      <c r="U590" s="9"/>
      <c r="X590" s="7"/>
      <c r="Y590" s="7"/>
    </row>
    <row r="591" spans="18:25" ht="13" x14ac:dyDescent="0.3">
      <c r="R591" s="9"/>
      <c r="T591" s="9"/>
      <c r="U591" s="9"/>
      <c r="X591" s="7"/>
      <c r="Y591" s="7"/>
    </row>
    <row r="592" spans="18:25" ht="13" x14ac:dyDescent="0.3">
      <c r="R592" s="9"/>
      <c r="T592" s="9"/>
      <c r="U592" s="9"/>
      <c r="X592" s="7"/>
      <c r="Y592" s="7"/>
    </row>
    <row r="593" spans="18:25" ht="13" x14ac:dyDescent="0.3">
      <c r="R593" s="9"/>
      <c r="T593" s="9"/>
      <c r="U593" s="9"/>
      <c r="X593" s="7"/>
      <c r="Y593" s="7"/>
    </row>
    <row r="594" spans="18:25" ht="13" x14ac:dyDescent="0.3">
      <c r="R594" s="9"/>
      <c r="T594" s="9"/>
      <c r="U594" s="9"/>
      <c r="X594" s="7"/>
      <c r="Y594" s="7"/>
    </row>
    <row r="595" spans="18:25" ht="13" x14ac:dyDescent="0.3">
      <c r="R595" s="9"/>
      <c r="T595" s="9"/>
      <c r="U595" s="9"/>
      <c r="X595" s="7"/>
      <c r="Y595" s="7"/>
    </row>
    <row r="596" spans="18:25" ht="13" x14ac:dyDescent="0.3">
      <c r="R596" s="9"/>
      <c r="T596" s="9"/>
      <c r="U596" s="9"/>
      <c r="X596" s="7"/>
      <c r="Y596" s="7"/>
    </row>
    <row r="597" spans="18:25" ht="13" x14ac:dyDescent="0.3">
      <c r="R597" s="9"/>
      <c r="T597" s="9"/>
      <c r="U597" s="9"/>
      <c r="X597" s="7"/>
      <c r="Y597" s="7"/>
    </row>
    <row r="598" spans="18:25" ht="13" x14ac:dyDescent="0.3">
      <c r="R598" s="9"/>
      <c r="T598" s="9"/>
      <c r="U598" s="9"/>
      <c r="X598" s="7"/>
      <c r="Y598" s="7"/>
    </row>
    <row r="599" spans="18:25" ht="13" x14ac:dyDescent="0.3">
      <c r="R599" s="9"/>
      <c r="T599" s="9"/>
      <c r="U599" s="9"/>
      <c r="X599" s="7"/>
      <c r="Y599" s="7"/>
    </row>
    <row r="600" spans="18:25" ht="13" x14ac:dyDescent="0.3">
      <c r="R600" s="9"/>
      <c r="T600" s="9"/>
      <c r="U600" s="9"/>
      <c r="X600" s="7"/>
      <c r="Y600" s="7"/>
    </row>
    <row r="601" spans="18:25" ht="13" x14ac:dyDescent="0.3">
      <c r="R601" s="9"/>
      <c r="T601" s="9"/>
      <c r="U601" s="9"/>
      <c r="X601" s="7"/>
      <c r="Y601" s="7"/>
    </row>
    <row r="602" spans="18:25" ht="13" x14ac:dyDescent="0.3">
      <c r="R602" s="9"/>
      <c r="T602" s="9"/>
      <c r="U602" s="9"/>
      <c r="X602" s="7"/>
      <c r="Y602" s="7"/>
    </row>
    <row r="603" spans="18:25" ht="13" x14ac:dyDescent="0.3">
      <c r="R603" s="9"/>
      <c r="T603" s="9"/>
      <c r="U603" s="9"/>
      <c r="X603" s="7"/>
      <c r="Y603" s="7"/>
    </row>
    <row r="604" spans="18:25" ht="13" x14ac:dyDescent="0.3">
      <c r="R604" s="9"/>
      <c r="T604" s="9"/>
      <c r="U604" s="9"/>
      <c r="X604" s="7"/>
      <c r="Y604" s="7"/>
    </row>
    <row r="605" spans="18:25" ht="13" x14ac:dyDescent="0.3">
      <c r="R605" s="9"/>
      <c r="T605" s="9"/>
      <c r="U605" s="9"/>
      <c r="X605" s="7"/>
      <c r="Y605" s="7"/>
    </row>
    <row r="606" spans="18:25" ht="13" x14ac:dyDescent="0.3">
      <c r="R606" s="9"/>
      <c r="T606" s="9"/>
      <c r="U606" s="9"/>
      <c r="X606" s="7"/>
      <c r="Y606" s="7"/>
    </row>
    <row r="607" spans="18:25" ht="13" x14ac:dyDescent="0.3">
      <c r="R607" s="9"/>
      <c r="T607" s="9"/>
      <c r="U607" s="9"/>
      <c r="X607" s="7"/>
      <c r="Y607" s="7"/>
    </row>
    <row r="608" spans="18:25" ht="13" x14ac:dyDescent="0.3">
      <c r="R608" s="9"/>
      <c r="T608" s="9"/>
      <c r="U608" s="9"/>
      <c r="X608" s="7"/>
      <c r="Y608" s="7"/>
    </row>
    <row r="609" spans="18:25" ht="13" x14ac:dyDescent="0.3">
      <c r="R609" s="9"/>
      <c r="T609" s="9"/>
      <c r="U609" s="9"/>
      <c r="X609" s="7"/>
      <c r="Y609" s="7"/>
    </row>
    <row r="610" spans="18:25" ht="13" x14ac:dyDescent="0.3">
      <c r="R610" s="9"/>
      <c r="T610" s="9"/>
      <c r="U610" s="9"/>
      <c r="X610" s="7"/>
      <c r="Y610" s="7"/>
    </row>
    <row r="611" spans="18:25" ht="13" x14ac:dyDescent="0.3">
      <c r="R611" s="9"/>
      <c r="T611" s="9"/>
      <c r="U611" s="9"/>
      <c r="X611" s="7"/>
      <c r="Y611" s="7"/>
    </row>
    <row r="612" spans="18:25" ht="13" x14ac:dyDescent="0.3">
      <c r="R612" s="9"/>
      <c r="T612" s="9"/>
      <c r="U612" s="9"/>
      <c r="X612" s="7"/>
      <c r="Y612" s="7"/>
    </row>
    <row r="613" spans="18:25" ht="13" x14ac:dyDescent="0.3">
      <c r="R613" s="9"/>
      <c r="T613" s="9"/>
      <c r="U613" s="9"/>
      <c r="X613" s="7"/>
      <c r="Y613" s="7"/>
    </row>
    <row r="614" spans="18:25" ht="13" x14ac:dyDescent="0.3">
      <c r="R614" s="9"/>
      <c r="T614" s="9"/>
      <c r="U614" s="9"/>
      <c r="X614" s="7"/>
      <c r="Y614" s="7"/>
    </row>
    <row r="615" spans="18:25" ht="13" x14ac:dyDescent="0.3">
      <c r="R615" s="9"/>
      <c r="T615" s="9"/>
      <c r="U615" s="9"/>
      <c r="X615" s="7"/>
      <c r="Y615" s="7"/>
    </row>
    <row r="616" spans="18:25" ht="13" x14ac:dyDescent="0.3">
      <c r="R616" s="9"/>
      <c r="T616" s="9"/>
      <c r="U616" s="9"/>
      <c r="X616" s="7"/>
      <c r="Y616" s="7"/>
    </row>
    <row r="617" spans="18:25" ht="13" x14ac:dyDescent="0.3">
      <c r="R617" s="9"/>
      <c r="T617" s="9"/>
      <c r="U617" s="9"/>
      <c r="X617" s="7"/>
      <c r="Y617" s="7"/>
    </row>
    <row r="618" spans="18:25" ht="13" x14ac:dyDescent="0.3">
      <c r="R618" s="9"/>
      <c r="T618" s="9"/>
      <c r="U618" s="9"/>
      <c r="X618" s="7"/>
      <c r="Y618" s="7"/>
    </row>
    <row r="619" spans="18:25" ht="13" x14ac:dyDescent="0.3">
      <c r="R619" s="9"/>
      <c r="T619" s="9"/>
      <c r="U619" s="9"/>
      <c r="X619" s="7"/>
      <c r="Y619" s="7"/>
    </row>
    <row r="620" spans="18:25" ht="13" x14ac:dyDescent="0.3">
      <c r="R620" s="9"/>
      <c r="T620" s="9"/>
      <c r="U620" s="9"/>
      <c r="X620" s="7"/>
      <c r="Y620" s="7"/>
    </row>
    <row r="621" spans="18:25" ht="13" x14ac:dyDescent="0.3">
      <c r="R621" s="9"/>
      <c r="T621" s="9"/>
      <c r="U621" s="9"/>
      <c r="X621" s="7"/>
      <c r="Y621" s="7"/>
    </row>
    <row r="622" spans="18:25" ht="13" x14ac:dyDescent="0.3">
      <c r="R622" s="9"/>
      <c r="T622" s="9"/>
      <c r="U622" s="9"/>
      <c r="X622" s="7"/>
      <c r="Y622" s="7"/>
    </row>
    <row r="623" spans="18:25" ht="13" x14ac:dyDescent="0.3">
      <c r="R623" s="9"/>
      <c r="T623" s="9"/>
      <c r="U623" s="9"/>
      <c r="X623" s="7"/>
      <c r="Y623" s="7"/>
    </row>
    <row r="624" spans="18:25" ht="13" x14ac:dyDescent="0.3">
      <c r="R624" s="9"/>
      <c r="T624" s="9"/>
      <c r="U624" s="9"/>
      <c r="X624" s="7"/>
      <c r="Y624" s="7"/>
    </row>
    <row r="625" spans="18:25" ht="13" x14ac:dyDescent="0.3">
      <c r="R625" s="9"/>
      <c r="T625" s="9"/>
      <c r="U625" s="9"/>
      <c r="X625" s="7"/>
      <c r="Y625" s="7"/>
    </row>
    <row r="626" spans="18:25" ht="13" x14ac:dyDescent="0.3">
      <c r="R626" s="9"/>
      <c r="T626" s="9"/>
      <c r="U626" s="9"/>
      <c r="X626" s="7"/>
      <c r="Y626" s="7"/>
    </row>
    <row r="627" spans="18:25" ht="13" x14ac:dyDescent="0.3">
      <c r="R627" s="9"/>
      <c r="T627" s="9"/>
      <c r="U627" s="9"/>
      <c r="X627" s="7"/>
      <c r="Y627" s="7"/>
    </row>
    <row r="628" spans="18:25" ht="13" x14ac:dyDescent="0.3">
      <c r="R628" s="9"/>
      <c r="T628" s="9"/>
      <c r="U628" s="9"/>
      <c r="X628" s="7"/>
      <c r="Y628" s="7"/>
    </row>
    <row r="629" spans="18:25" ht="13" x14ac:dyDescent="0.3">
      <c r="R629" s="9"/>
      <c r="T629" s="9"/>
      <c r="U629" s="9"/>
      <c r="X629" s="7"/>
      <c r="Y629" s="7"/>
    </row>
    <row r="630" spans="18:25" ht="13" x14ac:dyDescent="0.3">
      <c r="R630" s="9"/>
      <c r="T630" s="9"/>
      <c r="U630" s="9"/>
      <c r="X630" s="7"/>
      <c r="Y630" s="7"/>
    </row>
    <row r="631" spans="18:25" ht="13" x14ac:dyDescent="0.3">
      <c r="R631" s="9"/>
      <c r="T631" s="9"/>
      <c r="U631" s="9"/>
      <c r="X631" s="7"/>
      <c r="Y631" s="7"/>
    </row>
    <row r="632" spans="18:25" ht="13" x14ac:dyDescent="0.3">
      <c r="R632" s="9"/>
      <c r="T632" s="9"/>
      <c r="U632" s="9"/>
      <c r="X632" s="7"/>
      <c r="Y632" s="7"/>
    </row>
    <row r="633" spans="18:25" ht="13" x14ac:dyDescent="0.3">
      <c r="R633" s="9"/>
      <c r="T633" s="9"/>
      <c r="U633" s="9"/>
      <c r="X633" s="7"/>
      <c r="Y633" s="7"/>
    </row>
    <row r="634" spans="18:25" ht="13" x14ac:dyDescent="0.3">
      <c r="R634" s="9"/>
      <c r="T634" s="9"/>
      <c r="U634" s="9"/>
      <c r="X634" s="7"/>
      <c r="Y634" s="7"/>
    </row>
    <row r="635" spans="18:25" ht="13" x14ac:dyDescent="0.3">
      <c r="R635" s="9"/>
      <c r="T635" s="9"/>
      <c r="U635" s="9"/>
      <c r="X635" s="7"/>
      <c r="Y635" s="7"/>
    </row>
    <row r="636" spans="18:25" ht="13" x14ac:dyDescent="0.3">
      <c r="R636" s="9"/>
      <c r="T636" s="9"/>
      <c r="U636" s="9"/>
      <c r="X636" s="7"/>
      <c r="Y636" s="7"/>
    </row>
    <row r="637" spans="18:25" ht="13" x14ac:dyDescent="0.3">
      <c r="R637" s="9"/>
      <c r="T637" s="9"/>
      <c r="U637" s="9"/>
      <c r="X637" s="7"/>
      <c r="Y637" s="7"/>
    </row>
    <row r="638" spans="18:25" ht="13" x14ac:dyDescent="0.3">
      <c r="R638" s="9"/>
      <c r="T638" s="9"/>
      <c r="U638" s="9"/>
      <c r="X638" s="7"/>
      <c r="Y638" s="7"/>
    </row>
    <row r="639" spans="18:25" ht="13" x14ac:dyDescent="0.3">
      <c r="R639" s="9"/>
      <c r="T639" s="9"/>
      <c r="U639" s="9"/>
      <c r="X639" s="7"/>
      <c r="Y639" s="7"/>
    </row>
    <row r="640" spans="18:25" ht="13" x14ac:dyDescent="0.3">
      <c r="R640" s="9"/>
      <c r="T640" s="9"/>
      <c r="U640" s="9"/>
      <c r="X640" s="7"/>
      <c r="Y640" s="7"/>
    </row>
    <row r="641" spans="18:25" ht="13" x14ac:dyDescent="0.3">
      <c r="R641" s="9"/>
      <c r="T641" s="9"/>
      <c r="U641" s="9"/>
      <c r="X641" s="7"/>
      <c r="Y641" s="7"/>
    </row>
    <row r="642" spans="18:25" ht="13" x14ac:dyDescent="0.3">
      <c r="R642" s="9"/>
      <c r="T642" s="9"/>
      <c r="U642" s="9"/>
      <c r="X642" s="7"/>
      <c r="Y642" s="7"/>
    </row>
    <row r="643" spans="18:25" ht="13" x14ac:dyDescent="0.3">
      <c r="R643" s="9"/>
      <c r="T643" s="9"/>
      <c r="U643" s="9"/>
      <c r="X643" s="7"/>
      <c r="Y643" s="7"/>
    </row>
    <row r="644" spans="18:25" ht="13" x14ac:dyDescent="0.3">
      <c r="R644" s="9"/>
      <c r="T644" s="9"/>
      <c r="U644" s="9"/>
      <c r="X644" s="7"/>
      <c r="Y644" s="7"/>
    </row>
    <row r="645" spans="18:25" ht="13" x14ac:dyDescent="0.3">
      <c r="R645" s="9"/>
      <c r="T645" s="9"/>
      <c r="U645" s="9"/>
      <c r="X645" s="7"/>
      <c r="Y645" s="7"/>
    </row>
    <row r="646" spans="18:25" ht="13" x14ac:dyDescent="0.3">
      <c r="R646" s="9"/>
      <c r="T646" s="9"/>
      <c r="U646" s="9"/>
      <c r="X646" s="7"/>
      <c r="Y646" s="7"/>
    </row>
    <row r="647" spans="18:25" ht="13" x14ac:dyDescent="0.3">
      <c r="R647" s="9"/>
      <c r="T647" s="9"/>
      <c r="U647" s="9"/>
      <c r="X647" s="7"/>
      <c r="Y647" s="7"/>
    </row>
    <row r="648" spans="18:25" ht="13" x14ac:dyDescent="0.3">
      <c r="R648" s="9"/>
      <c r="T648" s="9"/>
      <c r="U648" s="9"/>
      <c r="X648" s="7"/>
      <c r="Y648" s="7"/>
    </row>
    <row r="649" spans="18:25" ht="13" x14ac:dyDescent="0.3">
      <c r="R649" s="9"/>
      <c r="T649" s="9"/>
      <c r="U649" s="9"/>
      <c r="X649" s="7"/>
      <c r="Y649" s="7"/>
    </row>
    <row r="650" spans="18:25" ht="13" x14ac:dyDescent="0.3">
      <c r="R650" s="9"/>
      <c r="T650" s="9"/>
      <c r="U650" s="9"/>
      <c r="X650" s="7"/>
      <c r="Y650" s="7"/>
    </row>
    <row r="651" spans="18:25" ht="13" x14ac:dyDescent="0.3">
      <c r="R651" s="9"/>
      <c r="T651" s="9"/>
      <c r="U651" s="9"/>
      <c r="X651" s="7"/>
      <c r="Y651" s="7"/>
    </row>
    <row r="652" spans="18:25" ht="13" x14ac:dyDescent="0.3">
      <c r="R652" s="9"/>
      <c r="T652" s="9"/>
      <c r="U652" s="9"/>
      <c r="X652" s="7"/>
      <c r="Y652" s="7"/>
    </row>
    <row r="653" spans="18:25" ht="13" x14ac:dyDescent="0.3">
      <c r="R653" s="9"/>
      <c r="T653" s="9"/>
      <c r="U653" s="9"/>
      <c r="X653" s="7"/>
      <c r="Y653" s="7"/>
    </row>
    <row r="654" spans="18:25" ht="13" x14ac:dyDescent="0.3">
      <c r="R654" s="9"/>
      <c r="T654" s="9"/>
      <c r="U654" s="9"/>
      <c r="X654" s="7"/>
      <c r="Y654" s="7"/>
    </row>
    <row r="655" spans="18:25" ht="13" x14ac:dyDescent="0.3">
      <c r="R655" s="9"/>
      <c r="T655" s="9"/>
      <c r="U655" s="9"/>
      <c r="X655" s="7"/>
      <c r="Y655" s="7"/>
    </row>
    <row r="656" spans="18:25" ht="13" x14ac:dyDescent="0.3">
      <c r="R656" s="9"/>
      <c r="T656" s="9"/>
      <c r="U656" s="9"/>
      <c r="X656" s="7"/>
      <c r="Y656" s="7"/>
    </row>
    <row r="657" spans="18:25" ht="13" x14ac:dyDescent="0.3">
      <c r="R657" s="9"/>
      <c r="T657" s="9"/>
      <c r="U657" s="9"/>
      <c r="X657" s="7"/>
      <c r="Y657" s="7"/>
    </row>
    <row r="658" spans="18:25" ht="13" x14ac:dyDescent="0.3">
      <c r="R658" s="9"/>
      <c r="T658" s="9"/>
      <c r="U658" s="9"/>
      <c r="X658" s="7"/>
      <c r="Y658" s="7"/>
    </row>
    <row r="659" spans="18:25" ht="13" x14ac:dyDescent="0.3">
      <c r="R659" s="9"/>
      <c r="T659" s="9"/>
      <c r="U659" s="9"/>
      <c r="X659" s="7"/>
      <c r="Y659" s="7"/>
    </row>
    <row r="660" spans="18:25" ht="13" x14ac:dyDescent="0.3">
      <c r="R660" s="9"/>
      <c r="T660" s="9"/>
      <c r="U660" s="9"/>
      <c r="X660" s="7"/>
      <c r="Y660" s="7"/>
    </row>
    <row r="661" spans="18:25" ht="13" x14ac:dyDescent="0.3">
      <c r="R661" s="9"/>
      <c r="T661" s="9"/>
      <c r="U661" s="9"/>
      <c r="X661" s="7"/>
      <c r="Y661" s="7"/>
    </row>
    <row r="662" spans="18:25" ht="13" x14ac:dyDescent="0.3">
      <c r="R662" s="9"/>
      <c r="T662" s="9"/>
      <c r="U662" s="9"/>
      <c r="X662" s="7"/>
      <c r="Y662" s="7"/>
    </row>
    <row r="663" spans="18:25" ht="13" x14ac:dyDescent="0.3">
      <c r="R663" s="9"/>
      <c r="T663" s="9"/>
      <c r="U663" s="9"/>
      <c r="X663" s="7"/>
      <c r="Y663" s="7"/>
    </row>
    <row r="664" spans="18:25" ht="13" x14ac:dyDescent="0.3">
      <c r="R664" s="9"/>
      <c r="T664" s="9"/>
      <c r="U664" s="9"/>
      <c r="X664" s="7"/>
      <c r="Y664" s="7"/>
    </row>
    <row r="665" spans="18:25" ht="13" x14ac:dyDescent="0.3">
      <c r="R665" s="9"/>
      <c r="T665" s="9"/>
      <c r="U665" s="9"/>
      <c r="X665" s="7"/>
      <c r="Y665" s="7"/>
    </row>
    <row r="666" spans="18:25" ht="13" x14ac:dyDescent="0.3">
      <c r="R666" s="9"/>
      <c r="T666" s="9"/>
      <c r="U666" s="9"/>
      <c r="X666" s="7"/>
      <c r="Y666" s="7"/>
    </row>
    <row r="667" spans="18:25" ht="13" x14ac:dyDescent="0.3">
      <c r="R667" s="9"/>
      <c r="T667" s="9"/>
      <c r="U667" s="9"/>
      <c r="X667" s="7"/>
      <c r="Y667" s="7"/>
    </row>
    <row r="668" spans="18:25" ht="13" x14ac:dyDescent="0.3">
      <c r="R668" s="9"/>
      <c r="T668" s="9"/>
      <c r="U668" s="9"/>
      <c r="X668" s="7"/>
      <c r="Y668" s="7"/>
    </row>
    <row r="669" spans="18:25" ht="13" x14ac:dyDescent="0.3">
      <c r="R669" s="9"/>
      <c r="T669" s="9"/>
      <c r="U669" s="9"/>
      <c r="X669" s="7"/>
      <c r="Y669" s="7"/>
    </row>
    <row r="670" spans="18:25" ht="13" x14ac:dyDescent="0.3">
      <c r="R670" s="9"/>
      <c r="T670" s="9"/>
      <c r="U670" s="9"/>
      <c r="X670" s="7"/>
      <c r="Y670" s="7"/>
    </row>
    <row r="671" spans="18:25" ht="13" x14ac:dyDescent="0.3">
      <c r="R671" s="9"/>
      <c r="T671" s="9"/>
      <c r="U671" s="9"/>
      <c r="X671" s="7"/>
      <c r="Y671" s="7"/>
    </row>
    <row r="672" spans="18:25" ht="13" x14ac:dyDescent="0.3">
      <c r="R672" s="9"/>
      <c r="T672" s="9"/>
      <c r="U672" s="9"/>
      <c r="X672" s="7"/>
      <c r="Y672" s="7"/>
    </row>
    <row r="673" spans="18:25" ht="13" x14ac:dyDescent="0.3">
      <c r="R673" s="9"/>
      <c r="T673" s="9"/>
      <c r="U673" s="9"/>
      <c r="X673" s="7"/>
      <c r="Y673" s="7"/>
    </row>
    <row r="674" spans="18:25" ht="13" x14ac:dyDescent="0.3">
      <c r="R674" s="9"/>
      <c r="T674" s="9"/>
      <c r="U674" s="9"/>
      <c r="X674" s="7"/>
      <c r="Y674" s="7"/>
    </row>
    <row r="675" spans="18:25" ht="13" x14ac:dyDescent="0.3">
      <c r="R675" s="9"/>
      <c r="T675" s="9"/>
      <c r="U675" s="9"/>
      <c r="X675" s="7"/>
      <c r="Y675" s="7"/>
    </row>
    <row r="676" spans="18:25" ht="13" x14ac:dyDescent="0.3">
      <c r="R676" s="9"/>
      <c r="T676" s="9"/>
      <c r="U676" s="9"/>
      <c r="X676" s="7"/>
      <c r="Y676" s="7"/>
    </row>
    <row r="677" spans="18:25" ht="13" x14ac:dyDescent="0.3">
      <c r="R677" s="9"/>
      <c r="T677" s="9"/>
      <c r="U677" s="9"/>
      <c r="X677" s="7"/>
      <c r="Y677" s="7"/>
    </row>
    <row r="678" spans="18:25" ht="13" x14ac:dyDescent="0.3">
      <c r="R678" s="9"/>
      <c r="T678" s="9"/>
      <c r="U678" s="9"/>
      <c r="X678" s="7"/>
      <c r="Y678" s="7"/>
    </row>
    <row r="679" spans="18:25" ht="13" x14ac:dyDescent="0.3">
      <c r="R679" s="9"/>
      <c r="T679" s="9"/>
      <c r="U679" s="9"/>
      <c r="X679" s="7"/>
      <c r="Y679" s="7"/>
    </row>
    <row r="680" spans="18:25" ht="13" x14ac:dyDescent="0.3">
      <c r="R680" s="9"/>
      <c r="T680" s="9"/>
      <c r="U680" s="9"/>
      <c r="X680" s="7"/>
      <c r="Y680" s="7"/>
    </row>
    <row r="681" spans="18:25" ht="13" x14ac:dyDescent="0.3">
      <c r="R681" s="9"/>
      <c r="T681" s="9"/>
      <c r="U681" s="9"/>
      <c r="X681" s="7"/>
      <c r="Y681" s="7"/>
    </row>
    <row r="682" spans="18:25" ht="13" x14ac:dyDescent="0.3">
      <c r="R682" s="9"/>
      <c r="T682" s="9"/>
      <c r="U682" s="9"/>
      <c r="X682" s="7"/>
      <c r="Y682" s="7"/>
    </row>
    <row r="683" spans="18:25" ht="13" x14ac:dyDescent="0.3">
      <c r="R683" s="9"/>
      <c r="T683" s="9"/>
      <c r="U683" s="9"/>
      <c r="X683" s="7"/>
      <c r="Y683" s="7"/>
    </row>
    <row r="684" spans="18:25" ht="13" x14ac:dyDescent="0.3">
      <c r="R684" s="9"/>
      <c r="T684" s="9"/>
      <c r="U684" s="9"/>
      <c r="X684" s="7"/>
      <c r="Y684" s="7"/>
    </row>
    <row r="685" spans="18:25" ht="13" x14ac:dyDescent="0.3">
      <c r="R685" s="9"/>
      <c r="T685" s="9"/>
      <c r="U685" s="9"/>
      <c r="X685" s="7"/>
      <c r="Y685" s="7"/>
    </row>
    <row r="686" spans="18:25" ht="13" x14ac:dyDescent="0.3">
      <c r="R686" s="9"/>
      <c r="T686" s="9"/>
      <c r="U686" s="9"/>
      <c r="X686" s="7"/>
      <c r="Y686" s="7"/>
    </row>
    <row r="687" spans="18:25" ht="13" x14ac:dyDescent="0.3">
      <c r="R687" s="9"/>
      <c r="T687" s="9"/>
      <c r="U687" s="9"/>
      <c r="X687" s="7"/>
      <c r="Y687" s="7"/>
    </row>
    <row r="688" spans="18:25" ht="13" x14ac:dyDescent="0.3">
      <c r="R688" s="9"/>
      <c r="T688" s="9"/>
      <c r="U688" s="9"/>
      <c r="X688" s="7"/>
      <c r="Y688" s="7"/>
    </row>
    <row r="689" spans="18:25" ht="13" x14ac:dyDescent="0.3">
      <c r="R689" s="9"/>
      <c r="T689" s="9"/>
      <c r="U689" s="9"/>
      <c r="X689" s="7"/>
      <c r="Y689" s="7"/>
    </row>
    <row r="690" spans="18:25" ht="13" x14ac:dyDescent="0.3">
      <c r="R690" s="9"/>
      <c r="T690" s="9"/>
      <c r="U690" s="9"/>
      <c r="X690" s="7"/>
      <c r="Y690" s="7"/>
    </row>
    <row r="691" spans="18:25" ht="13" x14ac:dyDescent="0.3">
      <c r="R691" s="9"/>
      <c r="T691" s="9"/>
      <c r="U691" s="9"/>
      <c r="X691" s="7"/>
      <c r="Y691" s="7"/>
    </row>
    <row r="692" spans="18:25" ht="13" x14ac:dyDescent="0.3">
      <c r="R692" s="9"/>
      <c r="T692" s="9"/>
      <c r="U692" s="9"/>
      <c r="X692" s="7"/>
      <c r="Y692" s="7"/>
    </row>
    <row r="693" spans="18:25" ht="13" x14ac:dyDescent="0.3">
      <c r="R693" s="9"/>
      <c r="T693" s="9"/>
      <c r="U693" s="9"/>
      <c r="X693" s="7"/>
      <c r="Y693" s="7"/>
    </row>
    <row r="694" spans="18:25" ht="13" x14ac:dyDescent="0.3">
      <c r="R694" s="9"/>
      <c r="T694" s="9"/>
      <c r="U694" s="9"/>
      <c r="X694" s="7"/>
      <c r="Y694" s="7"/>
    </row>
    <row r="695" spans="18:25" ht="13" x14ac:dyDescent="0.3">
      <c r="R695" s="9"/>
      <c r="T695" s="9"/>
      <c r="U695" s="9"/>
      <c r="X695" s="7"/>
      <c r="Y695" s="7"/>
    </row>
    <row r="696" spans="18:25" ht="13" x14ac:dyDescent="0.3">
      <c r="R696" s="9"/>
      <c r="T696" s="9"/>
      <c r="U696" s="9"/>
      <c r="X696" s="7"/>
      <c r="Y696" s="7"/>
    </row>
    <row r="697" spans="18:25" ht="13" x14ac:dyDescent="0.3">
      <c r="R697" s="9"/>
      <c r="T697" s="9"/>
      <c r="U697" s="9"/>
      <c r="X697" s="7"/>
      <c r="Y697" s="7"/>
    </row>
    <row r="698" spans="18:25" ht="13" x14ac:dyDescent="0.3">
      <c r="R698" s="9"/>
      <c r="T698" s="9"/>
      <c r="U698" s="9"/>
      <c r="X698" s="7"/>
      <c r="Y698" s="7"/>
    </row>
    <row r="699" spans="18:25" ht="13" x14ac:dyDescent="0.3">
      <c r="R699" s="9"/>
      <c r="T699" s="9"/>
      <c r="U699" s="9"/>
      <c r="X699" s="7"/>
      <c r="Y699" s="7"/>
    </row>
    <row r="700" spans="18:25" ht="13" x14ac:dyDescent="0.3">
      <c r="R700" s="9"/>
      <c r="T700" s="9"/>
      <c r="U700" s="9"/>
      <c r="X700" s="7"/>
      <c r="Y700" s="7"/>
    </row>
    <row r="701" spans="18:25" ht="13" x14ac:dyDescent="0.3">
      <c r="R701" s="9"/>
      <c r="T701" s="9"/>
      <c r="U701" s="9"/>
      <c r="X701" s="7"/>
      <c r="Y701" s="7"/>
    </row>
    <row r="702" spans="18:25" ht="13" x14ac:dyDescent="0.3">
      <c r="R702" s="9"/>
      <c r="T702" s="9"/>
      <c r="U702" s="9"/>
      <c r="X702" s="7"/>
      <c r="Y702" s="7"/>
    </row>
    <row r="703" spans="18:25" ht="13" x14ac:dyDescent="0.3">
      <c r="R703" s="9"/>
      <c r="T703" s="9"/>
      <c r="U703" s="9"/>
      <c r="X703" s="7"/>
      <c r="Y703" s="7"/>
    </row>
    <row r="704" spans="18:25" ht="13" x14ac:dyDescent="0.3">
      <c r="R704" s="9"/>
      <c r="T704" s="9"/>
      <c r="U704" s="9"/>
      <c r="X704" s="7"/>
      <c r="Y704" s="7"/>
    </row>
    <row r="705" spans="18:25" ht="13" x14ac:dyDescent="0.3">
      <c r="R705" s="9"/>
      <c r="T705" s="9"/>
      <c r="U705" s="9"/>
      <c r="X705" s="7"/>
      <c r="Y705" s="7"/>
    </row>
    <row r="706" spans="18:25" ht="13" x14ac:dyDescent="0.3">
      <c r="R706" s="9"/>
      <c r="T706" s="9"/>
      <c r="U706" s="9"/>
      <c r="X706" s="7"/>
      <c r="Y706" s="7"/>
    </row>
    <row r="707" spans="18:25" ht="13" x14ac:dyDescent="0.3">
      <c r="R707" s="9"/>
      <c r="T707" s="9"/>
      <c r="U707" s="9"/>
      <c r="X707" s="7"/>
      <c r="Y707" s="7"/>
    </row>
    <row r="708" spans="18:25" ht="13" x14ac:dyDescent="0.3">
      <c r="R708" s="9"/>
      <c r="T708" s="9"/>
      <c r="U708" s="9"/>
      <c r="X708" s="7"/>
      <c r="Y708" s="7"/>
    </row>
    <row r="709" spans="18:25" ht="13" x14ac:dyDescent="0.3">
      <c r="R709" s="9"/>
      <c r="T709" s="9"/>
      <c r="U709" s="9"/>
      <c r="X709" s="7"/>
      <c r="Y709" s="7"/>
    </row>
    <row r="710" spans="18:25" ht="13" x14ac:dyDescent="0.3">
      <c r="R710" s="9"/>
      <c r="T710" s="9"/>
      <c r="U710" s="9"/>
      <c r="X710" s="7"/>
      <c r="Y710" s="7"/>
    </row>
    <row r="711" spans="18:25" ht="13" x14ac:dyDescent="0.3">
      <c r="R711" s="9"/>
      <c r="T711" s="9"/>
      <c r="U711" s="9"/>
      <c r="X711" s="7"/>
      <c r="Y711" s="7"/>
    </row>
    <row r="712" spans="18:25" ht="13" x14ac:dyDescent="0.3">
      <c r="R712" s="9"/>
      <c r="T712" s="9"/>
      <c r="U712" s="9"/>
      <c r="X712" s="7"/>
      <c r="Y712" s="7"/>
    </row>
    <row r="713" spans="18:25" ht="13" x14ac:dyDescent="0.3">
      <c r="R713" s="9"/>
      <c r="T713" s="9"/>
      <c r="U713" s="9"/>
      <c r="X713" s="7"/>
      <c r="Y713" s="7"/>
    </row>
    <row r="714" spans="18:25" ht="13" x14ac:dyDescent="0.3">
      <c r="R714" s="9"/>
      <c r="T714" s="9"/>
      <c r="U714" s="9"/>
      <c r="X714" s="7"/>
      <c r="Y714" s="7"/>
    </row>
    <row r="715" spans="18:25" ht="13" x14ac:dyDescent="0.3">
      <c r="R715" s="9"/>
      <c r="T715" s="9"/>
      <c r="U715" s="9"/>
      <c r="X715" s="7"/>
      <c r="Y715" s="7"/>
    </row>
    <row r="716" spans="18:25" ht="13" x14ac:dyDescent="0.3">
      <c r="R716" s="9"/>
      <c r="T716" s="9"/>
      <c r="U716" s="9"/>
      <c r="X716" s="7"/>
      <c r="Y716" s="7"/>
    </row>
    <row r="717" spans="18:25" ht="13" x14ac:dyDescent="0.3">
      <c r="R717" s="9"/>
      <c r="T717" s="9"/>
      <c r="U717" s="9"/>
      <c r="X717" s="7"/>
      <c r="Y717" s="7"/>
    </row>
    <row r="718" spans="18:25" ht="13" x14ac:dyDescent="0.3">
      <c r="R718" s="9"/>
      <c r="T718" s="9"/>
      <c r="U718" s="9"/>
      <c r="X718" s="7"/>
      <c r="Y718" s="7"/>
    </row>
    <row r="719" spans="18:25" ht="13" x14ac:dyDescent="0.3">
      <c r="R719" s="9"/>
      <c r="T719" s="9"/>
      <c r="U719" s="9"/>
      <c r="X719" s="7"/>
      <c r="Y719" s="7"/>
    </row>
    <row r="720" spans="18:25" ht="13" x14ac:dyDescent="0.3">
      <c r="R720" s="9"/>
      <c r="T720" s="9"/>
      <c r="U720" s="9"/>
      <c r="X720" s="7"/>
      <c r="Y720" s="7"/>
    </row>
    <row r="721" spans="18:25" ht="13" x14ac:dyDescent="0.3">
      <c r="R721" s="9"/>
      <c r="T721" s="9"/>
      <c r="U721" s="9"/>
      <c r="X721" s="7"/>
      <c r="Y721" s="7"/>
    </row>
    <row r="722" spans="18:25" ht="13" x14ac:dyDescent="0.3">
      <c r="R722" s="9"/>
      <c r="T722" s="9"/>
      <c r="U722" s="9"/>
      <c r="X722" s="7"/>
      <c r="Y722" s="7"/>
    </row>
    <row r="723" spans="18:25" ht="13" x14ac:dyDescent="0.3">
      <c r="R723" s="9"/>
      <c r="T723" s="9"/>
      <c r="U723" s="9"/>
      <c r="X723" s="7"/>
      <c r="Y723" s="7"/>
    </row>
    <row r="724" spans="18:25" ht="13" x14ac:dyDescent="0.3">
      <c r="R724" s="9"/>
      <c r="T724" s="9"/>
      <c r="U724" s="9"/>
      <c r="X724" s="7"/>
      <c r="Y724" s="7"/>
    </row>
    <row r="725" spans="18:25" ht="13" x14ac:dyDescent="0.3">
      <c r="R725" s="9"/>
      <c r="T725" s="9"/>
      <c r="U725" s="9"/>
      <c r="X725" s="7"/>
      <c r="Y725" s="7"/>
    </row>
    <row r="726" spans="18:25" ht="13" x14ac:dyDescent="0.3">
      <c r="R726" s="9"/>
      <c r="T726" s="9"/>
      <c r="U726" s="9"/>
      <c r="X726" s="7"/>
      <c r="Y726" s="7"/>
    </row>
    <row r="727" spans="18:25" ht="13" x14ac:dyDescent="0.3">
      <c r="R727" s="9"/>
      <c r="T727" s="9"/>
      <c r="U727" s="9"/>
      <c r="X727" s="7"/>
      <c r="Y727" s="7"/>
    </row>
    <row r="728" spans="18:25" ht="13" x14ac:dyDescent="0.3">
      <c r="R728" s="9"/>
      <c r="T728" s="9"/>
      <c r="U728" s="9"/>
      <c r="X728" s="7"/>
      <c r="Y728" s="7"/>
    </row>
    <row r="729" spans="18:25" ht="13" x14ac:dyDescent="0.3">
      <c r="R729" s="9"/>
      <c r="T729" s="9"/>
      <c r="U729" s="9"/>
      <c r="X729" s="7"/>
      <c r="Y729" s="7"/>
    </row>
    <row r="730" spans="18:25" ht="13" x14ac:dyDescent="0.3">
      <c r="R730" s="9"/>
      <c r="T730" s="9"/>
      <c r="U730" s="9"/>
      <c r="X730" s="7"/>
      <c r="Y730" s="7"/>
    </row>
    <row r="731" spans="18:25" ht="13" x14ac:dyDescent="0.3">
      <c r="R731" s="9"/>
      <c r="T731" s="9"/>
      <c r="U731" s="9"/>
      <c r="X731" s="7"/>
      <c r="Y731" s="7"/>
    </row>
    <row r="732" spans="18:25" ht="13" x14ac:dyDescent="0.3">
      <c r="R732" s="9"/>
      <c r="T732" s="9"/>
      <c r="U732" s="9"/>
      <c r="X732" s="7"/>
      <c r="Y732" s="7"/>
    </row>
    <row r="733" spans="18:25" ht="13" x14ac:dyDescent="0.3">
      <c r="R733" s="9"/>
      <c r="T733" s="9"/>
      <c r="U733" s="9"/>
      <c r="X733" s="7"/>
      <c r="Y733" s="7"/>
    </row>
    <row r="734" spans="18:25" ht="13" x14ac:dyDescent="0.3">
      <c r="R734" s="9"/>
      <c r="T734" s="9"/>
      <c r="U734" s="9"/>
      <c r="X734" s="7"/>
      <c r="Y734" s="7"/>
    </row>
    <row r="735" spans="18:25" ht="13" x14ac:dyDescent="0.3">
      <c r="R735" s="9"/>
      <c r="T735" s="9"/>
      <c r="U735" s="9"/>
      <c r="X735" s="7"/>
      <c r="Y735" s="7"/>
    </row>
    <row r="736" spans="18:25" ht="13" x14ac:dyDescent="0.3">
      <c r="R736" s="9"/>
      <c r="T736" s="9"/>
      <c r="U736" s="9"/>
      <c r="X736" s="7"/>
      <c r="Y736" s="7"/>
    </row>
    <row r="737" spans="18:25" ht="13" x14ac:dyDescent="0.3">
      <c r="R737" s="9"/>
      <c r="T737" s="9"/>
      <c r="U737" s="9"/>
      <c r="X737" s="7"/>
      <c r="Y737" s="7"/>
    </row>
    <row r="738" spans="18:25" ht="13" x14ac:dyDescent="0.3">
      <c r="R738" s="9"/>
      <c r="T738" s="9"/>
      <c r="U738" s="9"/>
      <c r="X738" s="7"/>
      <c r="Y738" s="7"/>
    </row>
    <row r="739" spans="18:25" ht="13" x14ac:dyDescent="0.3">
      <c r="R739" s="9"/>
      <c r="T739" s="9"/>
      <c r="U739" s="9"/>
      <c r="X739" s="7"/>
      <c r="Y739" s="7"/>
    </row>
    <row r="740" spans="18:25" ht="13" x14ac:dyDescent="0.3">
      <c r="R740" s="9"/>
      <c r="T740" s="9"/>
      <c r="U740" s="9"/>
      <c r="X740" s="7"/>
      <c r="Y740" s="7"/>
    </row>
    <row r="741" spans="18:25" ht="13" x14ac:dyDescent="0.3">
      <c r="R741" s="9"/>
      <c r="T741" s="9"/>
      <c r="U741" s="9"/>
      <c r="X741" s="7"/>
      <c r="Y741" s="7"/>
    </row>
    <row r="742" spans="18:25" ht="13" x14ac:dyDescent="0.3">
      <c r="R742" s="9"/>
      <c r="T742" s="9"/>
      <c r="U742" s="9"/>
      <c r="X742" s="7"/>
      <c r="Y742" s="7"/>
    </row>
    <row r="743" spans="18:25" ht="13" x14ac:dyDescent="0.3">
      <c r="R743" s="9"/>
      <c r="T743" s="9"/>
      <c r="U743" s="9"/>
      <c r="X743" s="7"/>
      <c r="Y743" s="7"/>
    </row>
    <row r="744" spans="18:25" ht="13" x14ac:dyDescent="0.3">
      <c r="R744" s="9"/>
      <c r="T744" s="9"/>
      <c r="U744" s="9"/>
      <c r="X744" s="7"/>
      <c r="Y744" s="7"/>
    </row>
    <row r="745" spans="18:25" ht="13" x14ac:dyDescent="0.3">
      <c r="R745" s="9"/>
      <c r="T745" s="9"/>
      <c r="U745" s="9"/>
      <c r="X745" s="7"/>
      <c r="Y745" s="7"/>
    </row>
    <row r="746" spans="18:25" ht="13" x14ac:dyDescent="0.3">
      <c r="R746" s="9"/>
      <c r="T746" s="9"/>
      <c r="U746" s="9"/>
      <c r="X746" s="7"/>
      <c r="Y746" s="7"/>
    </row>
    <row r="747" spans="18:25" ht="13" x14ac:dyDescent="0.3">
      <c r="R747" s="9"/>
      <c r="T747" s="9"/>
      <c r="U747" s="9"/>
      <c r="X747" s="7"/>
      <c r="Y747" s="7"/>
    </row>
    <row r="748" spans="18:25" ht="13" x14ac:dyDescent="0.3">
      <c r="R748" s="9"/>
      <c r="T748" s="9"/>
      <c r="U748" s="9"/>
      <c r="X748" s="7"/>
      <c r="Y748" s="7"/>
    </row>
    <row r="749" spans="18:25" ht="13" x14ac:dyDescent="0.3">
      <c r="R749" s="9"/>
      <c r="T749" s="9"/>
      <c r="U749" s="9"/>
      <c r="X749" s="7"/>
      <c r="Y749" s="7"/>
    </row>
    <row r="750" spans="18:25" ht="13" x14ac:dyDescent="0.3">
      <c r="R750" s="9"/>
      <c r="T750" s="9"/>
      <c r="U750" s="9"/>
      <c r="X750" s="7"/>
      <c r="Y750" s="7"/>
    </row>
    <row r="751" spans="18:25" ht="13" x14ac:dyDescent="0.3">
      <c r="R751" s="9"/>
      <c r="T751" s="9"/>
      <c r="U751" s="9"/>
      <c r="X751" s="7"/>
      <c r="Y751" s="7"/>
    </row>
    <row r="752" spans="18:25" ht="13" x14ac:dyDescent="0.3">
      <c r="R752" s="9"/>
      <c r="T752" s="9"/>
      <c r="U752" s="9"/>
      <c r="X752" s="7"/>
      <c r="Y752" s="7"/>
    </row>
    <row r="753" spans="18:25" ht="13" x14ac:dyDescent="0.3">
      <c r="R753" s="9"/>
      <c r="T753" s="9"/>
      <c r="U753" s="9"/>
      <c r="X753" s="7"/>
      <c r="Y753" s="7"/>
    </row>
    <row r="754" spans="18:25" ht="13" x14ac:dyDescent="0.3">
      <c r="R754" s="9"/>
      <c r="T754" s="9"/>
      <c r="U754" s="9"/>
      <c r="X754" s="7"/>
      <c r="Y754" s="7"/>
    </row>
    <row r="755" spans="18:25" ht="13" x14ac:dyDescent="0.3">
      <c r="R755" s="9"/>
      <c r="T755" s="9"/>
      <c r="U755" s="9"/>
      <c r="X755" s="7"/>
      <c r="Y755" s="7"/>
    </row>
    <row r="756" spans="18:25" ht="13" x14ac:dyDescent="0.3">
      <c r="R756" s="9"/>
      <c r="T756" s="9"/>
      <c r="U756" s="9"/>
      <c r="X756" s="7"/>
      <c r="Y756" s="7"/>
    </row>
    <row r="757" spans="18:25" ht="13" x14ac:dyDescent="0.3">
      <c r="R757" s="9"/>
      <c r="T757" s="9"/>
      <c r="U757" s="9"/>
      <c r="X757" s="7"/>
      <c r="Y757" s="7"/>
    </row>
    <row r="758" spans="18:25" ht="13" x14ac:dyDescent="0.3">
      <c r="R758" s="9"/>
      <c r="T758" s="9"/>
      <c r="U758" s="9"/>
      <c r="X758" s="7"/>
      <c r="Y758" s="7"/>
    </row>
    <row r="759" spans="18:25" ht="13" x14ac:dyDescent="0.3">
      <c r="R759" s="9"/>
      <c r="T759" s="9"/>
      <c r="U759" s="9"/>
      <c r="X759" s="7"/>
      <c r="Y759" s="7"/>
    </row>
    <row r="760" spans="18:25" ht="13" x14ac:dyDescent="0.3">
      <c r="R760" s="9"/>
      <c r="T760" s="9"/>
      <c r="U760" s="9"/>
      <c r="X760" s="7"/>
      <c r="Y760" s="7"/>
    </row>
    <row r="761" spans="18:25" ht="13" x14ac:dyDescent="0.3">
      <c r="R761" s="9"/>
      <c r="T761" s="9"/>
      <c r="U761" s="9"/>
      <c r="X761" s="7"/>
      <c r="Y761" s="7"/>
    </row>
    <row r="762" spans="18:25" ht="13" x14ac:dyDescent="0.3">
      <c r="R762" s="9"/>
      <c r="T762" s="9"/>
      <c r="U762" s="9"/>
      <c r="X762" s="7"/>
      <c r="Y762" s="7"/>
    </row>
    <row r="763" spans="18:25" ht="13" x14ac:dyDescent="0.3">
      <c r="R763" s="9"/>
      <c r="T763" s="9"/>
      <c r="U763" s="9"/>
      <c r="X763" s="7"/>
      <c r="Y763" s="7"/>
    </row>
    <row r="764" spans="18:25" ht="13" x14ac:dyDescent="0.3">
      <c r="R764" s="9"/>
      <c r="T764" s="9"/>
      <c r="U764" s="9"/>
      <c r="X764" s="7"/>
      <c r="Y764" s="7"/>
    </row>
    <row r="765" spans="18:25" ht="13" x14ac:dyDescent="0.3">
      <c r="R765" s="9"/>
      <c r="T765" s="9"/>
      <c r="U765" s="9"/>
      <c r="X765" s="7"/>
      <c r="Y765" s="7"/>
    </row>
    <row r="766" spans="18:25" ht="13" x14ac:dyDescent="0.3">
      <c r="R766" s="9"/>
      <c r="T766" s="9"/>
      <c r="U766" s="9"/>
      <c r="X766" s="7"/>
      <c r="Y766" s="7"/>
    </row>
    <row r="767" spans="18:25" ht="13" x14ac:dyDescent="0.3">
      <c r="R767" s="9"/>
      <c r="T767" s="9"/>
      <c r="U767" s="9"/>
      <c r="X767" s="7"/>
      <c r="Y767" s="7"/>
    </row>
    <row r="768" spans="18:25" ht="13" x14ac:dyDescent="0.3">
      <c r="R768" s="9"/>
      <c r="T768" s="9"/>
      <c r="U768" s="9"/>
      <c r="X768" s="7"/>
      <c r="Y768" s="7"/>
    </row>
    <row r="769" spans="18:25" ht="13" x14ac:dyDescent="0.3">
      <c r="R769" s="9"/>
      <c r="T769" s="9"/>
      <c r="U769" s="9"/>
      <c r="X769" s="7"/>
      <c r="Y769" s="7"/>
    </row>
    <row r="770" spans="18:25" ht="13" x14ac:dyDescent="0.3">
      <c r="R770" s="9"/>
      <c r="T770" s="9"/>
      <c r="U770" s="9"/>
      <c r="X770" s="7"/>
      <c r="Y770" s="7"/>
    </row>
    <row r="771" spans="18:25" ht="13" x14ac:dyDescent="0.3">
      <c r="R771" s="9"/>
      <c r="T771" s="9"/>
      <c r="U771" s="9"/>
      <c r="X771" s="7"/>
      <c r="Y771" s="7"/>
    </row>
    <row r="772" spans="18:25" ht="13" x14ac:dyDescent="0.3">
      <c r="R772" s="9"/>
      <c r="T772" s="9"/>
      <c r="U772" s="9"/>
      <c r="X772" s="7"/>
      <c r="Y772" s="7"/>
    </row>
    <row r="773" spans="18:25" ht="13" x14ac:dyDescent="0.3">
      <c r="R773" s="9"/>
      <c r="T773" s="9"/>
      <c r="U773" s="9"/>
      <c r="X773" s="7"/>
      <c r="Y773" s="7"/>
    </row>
    <row r="774" spans="18:25" ht="13" x14ac:dyDescent="0.3">
      <c r="R774" s="9"/>
      <c r="T774" s="9"/>
      <c r="U774" s="9"/>
      <c r="X774" s="7"/>
      <c r="Y774" s="7"/>
    </row>
    <row r="775" spans="18:25" ht="13" x14ac:dyDescent="0.3">
      <c r="R775" s="9"/>
      <c r="T775" s="9"/>
      <c r="U775" s="9"/>
      <c r="X775" s="7"/>
      <c r="Y775" s="7"/>
    </row>
    <row r="776" spans="18:25" ht="13" x14ac:dyDescent="0.3">
      <c r="R776" s="9"/>
      <c r="T776" s="9"/>
      <c r="U776" s="9"/>
      <c r="X776" s="7"/>
      <c r="Y776" s="7"/>
    </row>
    <row r="777" spans="18:25" ht="13" x14ac:dyDescent="0.3">
      <c r="R777" s="9"/>
      <c r="T777" s="9"/>
      <c r="U777" s="9"/>
      <c r="X777" s="7"/>
      <c r="Y777" s="7"/>
    </row>
    <row r="778" spans="18:25" ht="13" x14ac:dyDescent="0.3">
      <c r="R778" s="9"/>
      <c r="T778" s="9"/>
      <c r="U778" s="9"/>
      <c r="X778" s="7"/>
      <c r="Y778" s="7"/>
    </row>
    <row r="779" spans="18:25" ht="13" x14ac:dyDescent="0.3">
      <c r="R779" s="9"/>
      <c r="T779" s="9"/>
      <c r="U779" s="9"/>
      <c r="X779" s="7"/>
      <c r="Y779" s="7"/>
    </row>
    <row r="780" spans="18:25" ht="13" x14ac:dyDescent="0.3">
      <c r="R780" s="9"/>
      <c r="T780" s="9"/>
      <c r="U780" s="9"/>
      <c r="X780" s="7"/>
      <c r="Y780" s="7"/>
    </row>
    <row r="781" spans="18:25" ht="13" x14ac:dyDescent="0.3">
      <c r="R781" s="9"/>
      <c r="T781" s="9"/>
      <c r="U781" s="9"/>
      <c r="X781" s="7"/>
      <c r="Y781" s="7"/>
    </row>
    <row r="782" spans="18:25" ht="13" x14ac:dyDescent="0.3">
      <c r="R782" s="9"/>
      <c r="T782" s="9"/>
      <c r="U782" s="9"/>
      <c r="X782" s="7"/>
      <c r="Y782" s="7"/>
    </row>
    <row r="783" spans="18:25" ht="13" x14ac:dyDescent="0.3">
      <c r="R783" s="9"/>
      <c r="T783" s="9"/>
      <c r="U783" s="9"/>
      <c r="X783" s="7"/>
      <c r="Y783" s="7"/>
    </row>
    <row r="784" spans="18:25" ht="13" x14ac:dyDescent="0.3">
      <c r="R784" s="9"/>
      <c r="T784" s="9"/>
      <c r="U784" s="9"/>
      <c r="X784" s="7"/>
      <c r="Y784" s="7"/>
    </row>
    <row r="785" spans="18:25" ht="13" x14ac:dyDescent="0.3">
      <c r="R785" s="9"/>
      <c r="T785" s="9"/>
      <c r="U785" s="9"/>
      <c r="X785" s="7"/>
      <c r="Y785" s="7"/>
    </row>
    <row r="786" spans="18:25" ht="13" x14ac:dyDescent="0.3">
      <c r="R786" s="9"/>
      <c r="T786" s="9"/>
      <c r="U786" s="9"/>
      <c r="X786" s="7"/>
      <c r="Y786" s="7"/>
    </row>
    <row r="787" spans="18:25" ht="13" x14ac:dyDescent="0.3">
      <c r="R787" s="9"/>
      <c r="T787" s="9"/>
      <c r="U787" s="9"/>
      <c r="X787" s="7"/>
      <c r="Y787" s="7"/>
    </row>
    <row r="788" spans="18:25" ht="13" x14ac:dyDescent="0.3">
      <c r="R788" s="9"/>
      <c r="T788" s="9"/>
      <c r="U788" s="9"/>
      <c r="X788" s="7"/>
      <c r="Y788" s="7"/>
    </row>
    <row r="789" spans="18:25" ht="13" x14ac:dyDescent="0.3">
      <c r="R789" s="9"/>
      <c r="T789" s="9"/>
      <c r="U789" s="9"/>
      <c r="X789" s="7"/>
      <c r="Y789" s="7"/>
    </row>
    <row r="790" spans="18:25" ht="13" x14ac:dyDescent="0.3">
      <c r="R790" s="9"/>
      <c r="T790" s="9"/>
      <c r="U790" s="9"/>
      <c r="X790" s="7"/>
      <c r="Y790" s="7"/>
    </row>
    <row r="791" spans="18:25" ht="13" x14ac:dyDescent="0.3">
      <c r="R791" s="9"/>
      <c r="T791" s="9"/>
      <c r="U791" s="9"/>
      <c r="X791" s="7"/>
      <c r="Y791" s="7"/>
    </row>
    <row r="792" spans="18:25" ht="13" x14ac:dyDescent="0.3">
      <c r="R792" s="9"/>
      <c r="T792" s="9"/>
      <c r="U792" s="9"/>
      <c r="X792" s="7"/>
      <c r="Y792" s="7"/>
    </row>
    <row r="793" spans="18:25" ht="13" x14ac:dyDescent="0.3">
      <c r="R793" s="9"/>
      <c r="T793" s="9"/>
      <c r="U793" s="9"/>
      <c r="X793" s="7"/>
      <c r="Y793" s="7"/>
    </row>
    <row r="794" spans="18:25" ht="13" x14ac:dyDescent="0.3">
      <c r="R794" s="9"/>
      <c r="T794" s="9"/>
      <c r="U794" s="9"/>
      <c r="X794" s="7"/>
      <c r="Y794" s="7"/>
    </row>
    <row r="795" spans="18:25" ht="13" x14ac:dyDescent="0.3">
      <c r="R795" s="9"/>
      <c r="T795" s="9"/>
      <c r="U795" s="9"/>
      <c r="X795" s="7"/>
      <c r="Y795" s="7"/>
    </row>
    <row r="796" spans="18:25" ht="13" x14ac:dyDescent="0.3">
      <c r="R796" s="9"/>
      <c r="T796" s="9"/>
      <c r="U796" s="9"/>
      <c r="X796" s="7"/>
      <c r="Y796" s="7"/>
    </row>
    <row r="797" spans="18:25" ht="13" x14ac:dyDescent="0.3">
      <c r="R797" s="9"/>
      <c r="T797" s="9"/>
      <c r="U797" s="9"/>
      <c r="X797" s="7"/>
      <c r="Y797" s="7"/>
    </row>
    <row r="798" spans="18:25" ht="13" x14ac:dyDescent="0.3">
      <c r="R798" s="9"/>
      <c r="T798" s="9"/>
      <c r="U798" s="9"/>
      <c r="X798" s="7"/>
      <c r="Y798" s="7"/>
    </row>
    <row r="799" spans="18:25" ht="13" x14ac:dyDescent="0.3">
      <c r="R799" s="9"/>
      <c r="T799" s="9"/>
      <c r="U799" s="9"/>
      <c r="X799" s="7"/>
      <c r="Y799" s="7"/>
    </row>
    <row r="800" spans="18:25" ht="13" x14ac:dyDescent="0.3">
      <c r="R800" s="9"/>
      <c r="T800" s="9"/>
      <c r="U800" s="9"/>
      <c r="X800" s="7"/>
      <c r="Y800" s="7"/>
    </row>
    <row r="801" spans="18:25" ht="13" x14ac:dyDescent="0.3">
      <c r="R801" s="9"/>
      <c r="T801" s="9"/>
      <c r="U801" s="9"/>
      <c r="X801" s="7"/>
      <c r="Y801" s="7"/>
    </row>
    <row r="802" spans="18:25" ht="13" x14ac:dyDescent="0.3">
      <c r="R802" s="9"/>
      <c r="T802" s="9"/>
      <c r="U802" s="9"/>
      <c r="X802" s="7"/>
      <c r="Y802" s="7"/>
    </row>
    <row r="803" spans="18:25" ht="13" x14ac:dyDescent="0.3">
      <c r="R803" s="9"/>
      <c r="T803" s="9"/>
      <c r="U803" s="9"/>
      <c r="X803" s="7"/>
      <c r="Y803" s="7"/>
    </row>
    <row r="804" spans="18:25" ht="13" x14ac:dyDescent="0.3">
      <c r="R804" s="9"/>
      <c r="T804" s="9"/>
      <c r="U804" s="9"/>
      <c r="X804" s="7"/>
      <c r="Y804" s="7"/>
    </row>
    <row r="805" spans="18:25" ht="13" x14ac:dyDescent="0.3">
      <c r="R805" s="9"/>
      <c r="T805" s="9"/>
      <c r="U805" s="9"/>
      <c r="X805" s="7"/>
      <c r="Y805" s="7"/>
    </row>
    <row r="806" spans="18:25" ht="13" x14ac:dyDescent="0.3">
      <c r="R806" s="9"/>
      <c r="T806" s="9"/>
      <c r="U806" s="9"/>
      <c r="X806" s="7"/>
      <c r="Y806" s="7"/>
    </row>
    <row r="807" spans="18:25" ht="13" x14ac:dyDescent="0.3">
      <c r="R807" s="9"/>
      <c r="T807" s="9"/>
      <c r="U807" s="9"/>
      <c r="X807" s="7"/>
      <c r="Y807" s="7"/>
    </row>
    <row r="808" spans="18:25" ht="13" x14ac:dyDescent="0.3">
      <c r="R808" s="9"/>
      <c r="T808" s="9"/>
      <c r="U808" s="9"/>
      <c r="X808" s="7"/>
      <c r="Y808" s="7"/>
    </row>
    <row r="809" spans="18:25" ht="13" x14ac:dyDescent="0.3">
      <c r="R809" s="9"/>
      <c r="T809" s="9"/>
      <c r="U809" s="9"/>
      <c r="X809" s="7"/>
      <c r="Y809" s="7"/>
    </row>
    <row r="810" spans="18:25" ht="13" x14ac:dyDescent="0.3">
      <c r="R810" s="9"/>
      <c r="T810" s="9"/>
      <c r="U810" s="9"/>
      <c r="X810" s="7"/>
      <c r="Y810" s="7"/>
    </row>
    <row r="811" spans="18:25" ht="13" x14ac:dyDescent="0.3">
      <c r="R811" s="9"/>
      <c r="T811" s="9"/>
      <c r="U811" s="9"/>
      <c r="X811" s="7"/>
      <c r="Y811" s="7"/>
    </row>
    <row r="812" spans="18:25" ht="13" x14ac:dyDescent="0.3">
      <c r="R812" s="9"/>
      <c r="T812" s="9"/>
      <c r="U812" s="9"/>
      <c r="X812" s="7"/>
      <c r="Y812" s="7"/>
    </row>
    <row r="813" spans="18:25" ht="13" x14ac:dyDescent="0.3">
      <c r="R813" s="9"/>
      <c r="T813" s="9"/>
      <c r="U813" s="9"/>
      <c r="X813" s="7"/>
      <c r="Y813" s="7"/>
    </row>
    <row r="814" spans="18:25" ht="13" x14ac:dyDescent="0.3">
      <c r="R814" s="9"/>
      <c r="T814" s="9"/>
      <c r="U814" s="9"/>
      <c r="X814" s="7"/>
      <c r="Y814" s="7"/>
    </row>
    <row r="815" spans="18:25" ht="13" x14ac:dyDescent="0.3">
      <c r="R815" s="9"/>
      <c r="T815" s="9"/>
      <c r="U815" s="9"/>
      <c r="X815" s="7"/>
      <c r="Y815" s="7"/>
    </row>
    <row r="816" spans="18:25" ht="13" x14ac:dyDescent="0.3">
      <c r="R816" s="9"/>
      <c r="T816" s="9"/>
      <c r="U816" s="9"/>
      <c r="X816" s="7"/>
      <c r="Y816" s="7"/>
    </row>
    <row r="817" spans="18:25" ht="13" x14ac:dyDescent="0.3">
      <c r="R817" s="9"/>
      <c r="T817" s="9"/>
      <c r="U817" s="9"/>
      <c r="X817" s="7"/>
      <c r="Y817" s="7"/>
    </row>
    <row r="818" spans="18:25" ht="13" x14ac:dyDescent="0.3">
      <c r="R818" s="9"/>
      <c r="T818" s="9"/>
      <c r="U818" s="9"/>
      <c r="X818" s="7"/>
      <c r="Y818" s="7"/>
    </row>
    <row r="819" spans="18:25" ht="13" x14ac:dyDescent="0.3">
      <c r="R819" s="9"/>
      <c r="T819" s="9"/>
      <c r="U819" s="9"/>
      <c r="X819" s="7"/>
      <c r="Y819" s="7"/>
    </row>
    <row r="820" spans="18:25" ht="13" x14ac:dyDescent="0.3">
      <c r="R820" s="9"/>
      <c r="T820" s="9"/>
      <c r="U820" s="9"/>
      <c r="X820" s="7"/>
      <c r="Y820" s="7"/>
    </row>
    <row r="821" spans="18:25" ht="13" x14ac:dyDescent="0.3">
      <c r="R821" s="9"/>
      <c r="T821" s="9"/>
      <c r="U821" s="9"/>
      <c r="X821" s="7"/>
      <c r="Y821" s="7"/>
    </row>
    <row r="822" spans="18:25" ht="13" x14ac:dyDescent="0.3">
      <c r="R822" s="9"/>
      <c r="T822" s="9"/>
      <c r="U822" s="9"/>
      <c r="X822" s="7"/>
      <c r="Y822" s="7"/>
    </row>
    <row r="823" spans="18:25" ht="13" x14ac:dyDescent="0.3">
      <c r="R823" s="9"/>
      <c r="T823" s="9"/>
      <c r="U823" s="9"/>
      <c r="X823" s="7"/>
      <c r="Y823" s="7"/>
    </row>
    <row r="824" spans="18:25" ht="13" x14ac:dyDescent="0.3">
      <c r="R824" s="9"/>
      <c r="T824" s="9"/>
      <c r="U824" s="9"/>
      <c r="X824" s="7"/>
      <c r="Y824" s="7"/>
    </row>
    <row r="825" spans="18:25" ht="13" x14ac:dyDescent="0.3">
      <c r="R825" s="9"/>
      <c r="T825" s="9"/>
      <c r="U825" s="9"/>
      <c r="X825" s="7"/>
      <c r="Y825" s="7"/>
    </row>
    <row r="826" spans="18:25" ht="13" x14ac:dyDescent="0.3">
      <c r="R826" s="9"/>
      <c r="T826" s="9"/>
      <c r="U826" s="9"/>
      <c r="X826" s="7"/>
      <c r="Y826" s="7"/>
    </row>
    <row r="827" spans="18:25" ht="13" x14ac:dyDescent="0.3">
      <c r="R827" s="9"/>
      <c r="T827" s="9"/>
      <c r="U827" s="9"/>
      <c r="X827" s="7"/>
      <c r="Y827" s="7"/>
    </row>
    <row r="828" spans="18:25" ht="13" x14ac:dyDescent="0.3">
      <c r="R828" s="9"/>
      <c r="T828" s="9"/>
      <c r="U828" s="9"/>
      <c r="X828" s="7"/>
      <c r="Y828" s="7"/>
    </row>
    <row r="829" spans="18:25" ht="13" x14ac:dyDescent="0.3">
      <c r="R829" s="9"/>
      <c r="T829" s="9"/>
      <c r="U829" s="9"/>
      <c r="X829" s="7"/>
      <c r="Y829" s="7"/>
    </row>
    <row r="830" spans="18:25" ht="13" x14ac:dyDescent="0.3">
      <c r="R830" s="9"/>
      <c r="T830" s="9"/>
      <c r="U830" s="9"/>
      <c r="X830" s="7"/>
      <c r="Y830" s="7"/>
    </row>
    <row r="831" spans="18:25" ht="13" x14ac:dyDescent="0.3">
      <c r="R831" s="9"/>
      <c r="T831" s="9"/>
      <c r="U831" s="9"/>
      <c r="X831" s="7"/>
      <c r="Y831" s="7"/>
    </row>
    <row r="832" spans="18:25" ht="13" x14ac:dyDescent="0.3">
      <c r="R832" s="9"/>
      <c r="T832" s="9"/>
      <c r="U832" s="9"/>
      <c r="X832" s="7"/>
      <c r="Y832" s="7"/>
    </row>
    <row r="833" spans="18:25" ht="13" x14ac:dyDescent="0.3">
      <c r="R833" s="9"/>
      <c r="T833" s="9"/>
      <c r="U833" s="9"/>
      <c r="X833" s="7"/>
      <c r="Y833" s="7"/>
    </row>
    <row r="834" spans="18:25" ht="13" x14ac:dyDescent="0.3">
      <c r="R834" s="9"/>
      <c r="T834" s="9"/>
      <c r="U834" s="9"/>
      <c r="X834" s="7"/>
      <c r="Y834" s="7"/>
    </row>
    <row r="835" spans="18:25" ht="13" x14ac:dyDescent="0.3">
      <c r="R835" s="9"/>
      <c r="T835" s="9"/>
      <c r="U835" s="9"/>
      <c r="X835" s="7"/>
      <c r="Y835" s="7"/>
    </row>
    <row r="836" spans="18:25" ht="13" x14ac:dyDescent="0.3">
      <c r="R836" s="9"/>
      <c r="T836" s="9"/>
      <c r="U836" s="9"/>
      <c r="X836" s="7"/>
      <c r="Y836" s="7"/>
    </row>
    <row r="837" spans="18:25" ht="13" x14ac:dyDescent="0.3">
      <c r="R837" s="9"/>
      <c r="T837" s="9"/>
      <c r="U837" s="9"/>
      <c r="X837" s="7"/>
      <c r="Y837" s="7"/>
    </row>
    <row r="838" spans="18:25" ht="13" x14ac:dyDescent="0.3">
      <c r="R838" s="9"/>
      <c r="T838" s="9"/>
      <c r="U838" s="9"/>
      <c r="X838" s="7"/>
      <c r="Y838" s="7"/>
    </row>
    <row r="839" spans="18:25" ht="13" x14ac:dyDescent="0.3">
      <c r="R839" s="9"/>
      <c r="T839" s="9"/>
      <c r="U839" s="9"/>
      <c r="X839" s="7"/>
      <c r="Y839" s="7"/>
    </row>
    <row r="840" spans="18:25" ht="13" x14ac:dyDescent="0.3">
      <c r="R840" s="9"/>
      <c r="T840" s="9"/>
      <c r="U840" s="9"/>
      <c r="X840" s="7"/>
      <c r="Y840" s="7"/>
    </row>
    <row r="841" spans="18:25" ht="13" x14ac:dyDescent="0.3">
      <c r="R841" s="9"/>
      <c r="T841" s="9"/>
      <c r="U841" s="9"/>
      <c r="X841" s="7"/>
      <c r="Y841" s="7"/>
    </row>
    <row r="842" spans="18:25" ht="13" x14ac:dyDescent="0.3">
      <c r="R842" s="9"/>
      <c r="T842" s="9"/>
      <c r="U842" s="9"/>
      <c r="X842" s="7"/>
      <c r="Y842" s="7"/>
    </row>
    <row r="843" spans="18:25" ht="13" x14ac:dyDescent="0.3">
      <c r="R843" s="9"/>
      <c r="T843" s="9"/>
      <c r="U843" s="9"/>
      <c r="X843" s="7"/>
      <c r="Y843" s="7"/>
    </row>
    <row r="844" spans="18:25" ht="13" x14ac:dyDescent="0.3">
      <c r="R844" s="9"/>
      <c r="T844" s="9"/>
      <c r="U844" s="9"/>
      <c r="X844" s="7"/>
      <c r="Y844" s="7"/>
    </row>
    <row r="845" spans="18:25" ht="13" x14ac:dyDescent="0.3">
      <c r="R845" s="9"/>
      <c r="T845" s="9"/>
      <c r="U845" s="9"/>
      <c r="X845" s="7"/>
      <c r="Y845" s="7"/>
    </row>
    <row r="846" spans="18:25" ht="13" x14ac:dyDescent="0.3">
      <c r="R846" s="9"/>
      <c r="T846" s="9"/>
      <c r="U846" s="9"/>
      <c r="X846" s="7"/>
      <c r="Y846" s="7"/>
    </row>
    <row r="847" spans="18:25" ht="13" x14ac:dyDescent="0.3">
      <c r="R847" s="9"/>
      <c r="T847" s="9"/>
      <c r="U847" s="9"/>
      <c r="X847" s="7"/>
      <c r="Y847" s="7"/>
    </row>
    <row r="848" spans="18:25" ht="13" x14ac:dyDescent="0.3">
      <c r="R848" s="9"/>
      <c r="T848" s="9"/>
      <c r="U848" s="9"/>
      <c r="X848" s="7"/>
      <c r="Y848" s="7"/>
    </row>
    <row r="849" spans="18:25" ht="13" x14ac:dyDescent="0.3">
      <c r="R849" s="9"/>
      <c r="T849" s="9"/>
      <c r="U849" s="9"/>
      <c r="X849" s="7"/>
      <c r="Y849" s="7"/>
    </row>
    <row r="850" spans="18:25" ht="13" x14ac:dyDescent="0.3">
      <c r="R850" s="9"/>
      <c r="T850" s="9"/>
      <c r="U850" s="9"/>
      <c r="X850" s="7"/>
      <c r="Y850" s="7"/>
    </row>
    <row r="851" spans="18:25" ht="13" x14ac:dyDescent="0.3">
      <c r="R851" s="9"/>
      <c r="T851" s="9"/>
      <c r="U851" s="9"/>
      <c r="X851" s="7"/>
      <c r="Y851" s="7"/>
    </row>
    <row r="852" spans="18:25" ht="13" x14ac:dyDescent="0.3">
      <c r="R852" s="9"/>
      <c r="T852" s="9"/>
      <c r="U852" s="9"/>
      <c r="X852" s="7"/>
      <c r="Y852" s="7"/>
    </row>
    <row r="853" spans="18:25" ht="13" x14ac:dyDescent="0.3">
      <c r="R853" s="9"/>
      <c r="T853" s="9"/>
      <c r="U853" s="9"/>
      <c r="X853" s="7"/>
      <c r="Y853" s="7"/>
    </row>
    <row r="854" spans="18:25" ht="13" x14ac:dyDescent="0.3">
      <c r="R854" s="9"/>
      <c r="T854" s="9"/>
      <c r="U854" s="9"/>
      <c r="X854" s="7"/>
      <c r="Y854" s="7"/>
    </row>
    <row r="855" spans="18:25" ht="13" x14ac:dyDescent="0.3">
      <c r="R855" s="9"/>
      <c r="T855" s="9"/>
      <c r="U855" s="9"/>
      <c r="X855" s="7"/>
      <c r="Y855" s="7"/>
    </row>
    <row r="856" spans="18:25" ht="13" x14ac:dyDescent="0.3">
      <c r="R856" s="9"/>
      <c r="T856" s="9"/>
      <c r="U856" s="9"/>
      <c r="X856" s="7"/>
      <c r="Y856" s="7"/>
    </row>
    <row r="857" spans="18:25" ht="13" x14ac:dyDescent="0.3">
      <c r="R857" s="9"/>
      <c r="T857" s="9"/>
      <c r="U857" s="9"/>
      <c r="X857" s="7"/>
      <c r="Y857" s="7"/>
    </row>
    <row r="858" spans="18:25" ht="13" x14ac:dyDescent="0.3">
      <c r="R858" s="9"/>
      <c r="T858" s="9"/>
      <c r="U858" s="9"/>
      <c r="X858" s="7"/>
      <c r="Y858" s="7"/>
    </row>
    <row r="859" spans="18:25" ht="13" x14ac:dyDescent="0.3">
      <c r="R859" s="9"/>
      <c r="T859" s="9"/>
      <c r="U859" s="9"/>
      <c r="X859" s="7"/>
      <c r="Y859" s="7"/>
    </row>
    <row r="860" spans="18:25" ht="13" x14ac:dyDescent="0.3">
      <c r="R860" s="9"/>
      <c r="T860" s="9"/>
      <c r="U860" s="9"/>
      <c r="X860" s="7"/>
      <c r="Y860" s="7"/>
    </row>
    <row r="861" spans="18:25" ht="13" x14ac:dyDescent="0.3">
      <c r="R861" s="9"/>
      <c r="T861" s="9"/>
      <c r="U861" s="9"/>
      <c r="X861" s="7"/>
      <c r="Y861" s="7"/>
    </row>
    <row r="862" spans="18:25" ht="13" x14ac:dyDescent="0.3">
      <c r="R862" s="9"/>
      <c r="T862" s="9"/>
      <c r="U862" s="9"/>
      <c r="X862" s="7"/>
      <c r="Y862" s="7"/>
    </row>
    <row r="863" spans="18:25" ht="13" x14ac:dyDescent="0.3">
      <c r="R863" s="9"/>
      <c r="T863" s="9"/>
      <c r="U863" s="9"/>
      <c r="X863" s="7"/>
      <c r="Y863" s="7"/>
    </row>
    <row r="864" spans="18:25" ht="13" x14ac:dyDescent="0.3">
      <c r="R864" s="9"/>
      <c r="T864" s="9"/>
      <c r="U864" s="9"/>
      <c r="X864" s="7"/>
      <c r="Y864" s="7"/>
    </row>
    <row r="865" spans="18:25" ht="13" x14ac:dyDescent="0.3">
      <c r="R865" s="9"/>
      <c r="T865" s="9"/>
      <c r="U865" s="9"/>
      <c r="X865" s="7"/>
      <c r="Y865" s="7"/>
    </row>
    <row r="866" spans="18:25" ht="13" x14ac:dyDescent="0.3">
      <c r="R866" s="9"/>
      <c r="T866" s="9"/>
      <c r="U866" s="9"/>
      <c r="X866" s="7"/>
      <c r="Y866" s="7"/>
    </row>
    <row r="867" spans="18:25" ht="13" x14ac:dyDescent="0.3">
      <c r="R867" s="9"/>
      <c r="T867" s="9"/>
      <c r="U867" s="9"/>
      <c r="X867" s="7"/>
      <c r="Y867" s="7"/>
    </row>
    <row r="868" spans="18:25" ht="13" x14ac:dyDescent="0.3">
      <c r="R868" s="9"/>
      <c r="T868" s="9"/>
      <c r="U868" s="9"/>
      <c r="X868" s="7"/>
      <c r="Y868" s="7"/>
    </row>
    <row r="869" spans="18:25" ht="13" x14ac:dyDescent="0.3">
      <c r="R869" s="9"/>
      <c r="T869" s="9"/>
      <c r="U869" s="9"/>
      <c r="X869" s="7"/>
      <c r="Y869" s="7"/>
    </row>
    <row r="870" spans="18:25" ht="13" x14ac:dyDescent="0.3">
      <c r="R870" s="9"/>
      <c r="T870" s="9"/>
      <c r="U870" s="9"/>
      <c r="X870" s="7"/>
      <c r="Y870" s="7"/>
    </row>
    <row r="871" spans="18:25" ht="13" x14ac:dyDescent="0.3">
      <c r="R871" s="9"/>
      <c r="T871" s="9"/>
      <c r="U871" s="9"/>
      <c r="X871" s="7"/>
      <c r="Y871" s="7"/>
    </row>
    <row r="872" spans="18:25" ht="13" x14ac:dyDescent="0.3">
      <c r="R872" s="9"/>
      <c r="T872" s="9"/>
      <c r="U872" s="9"/>
      <c r="X872" s="7"/>
      <c r="Y872" s="7"/>
    </row>
    <row r="873" spans="18:25" ht="13" x14ac:dyDescent="0.3">
      <c r="R873" s="9"/>
      <c r="T873" s="9"/>
      <c r="U873" s="9"/>
      <c r="X873" s="7"/>
      <c r="Y873" s="7"/>
    </row>
    <row r="874" spans="18:25" ht="13" x14ac:dyDescent="0.3">
      <c r="R874" s="9"/>
      <c r="T874" s="9"/>
      <c r="U874" s="9"/>
      <c r="X874" s="7"/>
      <c r="Y874" s="7"/>
    </row>
    <row r="875" spans="18:25" ht="13" x14ac:dyDescent="0.3">
      <c r="R875" s="9"/>
      <c r="T875" s="9"/>
      <c r="U875" s="9"/>
      <c r="X875" s="7"/>
      <c r="Y875" s="7"/>
    </row>
    <row r="876" spans="18:25" ht="13" x14ac:dyDescent="0.3">
      <c r="R876" s="9"/>
      <c r="T876" s="9"/>
      <c r="U876" s="9"/>
      <c r="X876" s="7"/>
      <c r="Y876" s="7"/>
    </row>
    <row r="877" spans="18:25" ht="13" x14ac:dyDescent="0.3">
      <c r="R877" s="9"/>
      <c r="T877" s="9"/>
      <c r="U877" s="9"/>
      <c r="X877" s="7"/>
      <c r="Y877" s="7"/>
    </row>
    <row r="878" spans="18:25" ht="13" x14ac:dyDescent="0.3">
      <c r="R878" s="9"/>
      <c r="T878" s="9"/>
      <c r="U878" s="9"/>
      <c r="X878" s="7"/>
      <c r="Y878" s="7"/>
    </row>
    <row r="879" spans="18:25" ht="13" x14ac:dyDescent="0.3">
      <c r="R879" s="9"/>
      <c r="T879" s="9"/>
      <c r="U879" s="9"/>
      <c r="X879" s="7"/>
      <c r="Y879" s="7"/>
    </row>
    <row r="880" spans="18:25" ht="13" x14ac:dyDescent="0.3">
      <c r="R880" s="9"/>
      <c r="T880" s="9"/>
      <c r="U880" s="9"/>
      <c r="X880" s="7"/>
      <c r="Y880" s="7"/>
    </row>
    <row r="881" spans="18:25" ht="13" x14ac:dyDescent="0.3">
      <c r="R881" s="9"/>
      <c r="T881" s="9"/>
      <c r="U881" s="9"/>
      <c r="X881" s="7"/>
      <c r="Y881" s="7"/>
    </row>
    <row r="882" spans="18:25" ht="13" x14ac:dyDescent="0.3">
      <c r="R882" s="9"/>
      <c r="T882" s="9"/>
      <c r="U882" s="9"/>
      <c r="X882" s="7"/>
      <c r="Y882" s="7"/>
    </row>
    <row r="883" spans="18:25" ht="13" x14ac:dyDescent="0.3">
      <c r="R883" s="9"/>
      <c r="T883" s="9"/>
      <c r="U883" s="9"/>
      <c r="X883" s="7"/>
      <c r="Y883" s="7"/>
    </row>
    <row r="884" spans="18:25" ht="13" x14ac:dyDescent="0.3">
      <c r="R884" s="9"/>
      <c r="T884" s="9"/>
      <c r="U884" s="9"/>
      <c r="X884" s="7"/>
      <c r="Y884" s="7"/>
    </row>
    <row r="885" spans="18:25" ht="13" x14ac:dyDescent="0.3">
      <c r="R885" s="9"/>
      <c r="T885" s="9"/>
      <c r="U885" s="9"/>
      <c r="X885" s="7"/>
      <c r="Y885" s="7"/>
    </row>
    <row r="886" spans="18:25" ht="13" x14ac:dyDescent="0.3">
      <c r="R886" s="9"/>
      <c r="T886" s="9"/>
      <c r="U886" s="9"/>
      <c r="X886" s="7"/>
      <c r="Y886" s="7"/>
    </row>
    <row r="887" spans="18:25" ht="13" x14ac:dyDescent="0.3">
      <c r="R887" s="9"/>
      <c r="T887" s="9"/>
      <c r="U887" s="9"/>
      <c r="X887" s="7"/>
      <c r="Y887" s="7"/>
    </row>
    <row r="888" spans="18:25" ht="13" x14ac:dyDescent="0.3">
      <c r="R888" s="9"/>
      <c r="T888" s="9"/>
      <c r="U888" s="9"/>
      <c r="X888" s="7"/>
      <c r="Y888" s="7"/>
    </row>
    <row r="889" spans="18:25" ht="13" x14ac:dyDescent="0.3">
      <c r="R889" s="9"/>
      <c r="T889" s="9"/>
      <c r="U889" s="9"/>
      <c r="X889" s="7"/>
      <c r="Y889" s="7"/>
    </row>
    <row r="890" spans="18:25" ht="13" x14ac:dyDescent="0.3">
      <c r="R890" s="9"/>
      <c r="T890" s="9"/>
      <c r="U890" s="9"/>
      <c r="X890" s="7"/>
      <c r="Y890" s="7"/>
    </row>
    <row r="891" spans="18:25" ht="13" x14ac:dyDescent="0.3">
      <c r="R891" s="9"/>
      <c r="T891" s="9"/>
      <c r="U891" s="9"/>
      <c r="X891" s="7"/>
      <c r="Y891" s="7"/>
    </row>
    <row r="892" spans="18:25" ht="13" x14ac:dyDescent="0.3">
      <c r="R892" s="9"/>
      <c r="T892" s="9"/>
      <c r="U892" s="9"/>
      <c r="X892" s="7"/>
      <c r="Y892" s="7"/>
    </row>
    <row r="893" spans="18:25" ht="13" x14ac:dyDescent="0.3">
      <c r="R893" s="9"/>
      <c r="T893" s="9"/>
      <c r="U893" s="9"/>
      <c r="X893" s="7"/>
      <c r="Y893" s="7"/>
    </row>
    <row r="894" spans="18:25" ht="13" x14ac:dyDescent="0.3">
      <c r="R894" s="9"/>
      <c r="T894" s="9"/>
      <c r="U894" s="9"/>
      <c r="X894" s="7"/>
      <c r="Y894" s="7"/>
    </row>
    <row r="895" spans="18:25" ht="13" x14ac:dyDescent="0.3">
      <c r="R895" s="9"/>
      <c r="T895" s="9"/>
      <c r="U895" s="9"/>
      <c r="X895" s="7"/>
      <c r="Y895" s="7"/>
    </row>
    <row r="896" spans="18:25" ht="13" x14ac:dyDescent="0.3">
      <c r="R896" s="9"/>
      <c r="T896" s="9"/>
      <c r="U896" s="9"/>
      <c r="X896" s="7"/>
      <c r="Y896" s="7"/>
    </row>
    <row r="897" spans="18:25" ht="13" x14ac:dyDescent="0.3">
      <c r="R897" s="9"/>
      <c r="T897" s="9"/>
      <c r="U897" s="9"/>
      <c r="X897" s="7"/>
      <c r="Y897" s="7"/>
    </row>
    <row r="898" spans="18:25" ht="13" x14ac:dyDescent="0.3">
      <c r="R898" s="9"/>
      <c r="T898" s="9"/>
      <c r="U898" s="9"/>
      <c r="X898" s="7"/>
      <c r="Y898" s="7"/>
    </row>
    <row r="899" spans="18:25" ht="13" x14ac:dyDescent="0.3">
      <c r="R899" s="9"/>
      <c r="T899" s="9"/>
      <c r="U899" s="9"/>
      <c r="X899" s="7"/>
      <c r="Y899" s="7"/>
    </row>
    <row r="900" spans="18:25" ht="13" x14ac:dyDescent="0.3">
      <c r="R900" s="9"/>
      <c r="T900" s="9"/>
      <c r="U900" s="9"/>
      <c r="X900" s="7"/>
      <c r="Y900" s="7"/>
    </row>
    <row r="901" spans="18:25" ht="13" x14ac:dyDescent="0.3">
      <c r="R901" s="9"/>
      <c r="T901" s="9"/>
      <c r="U901" s="9"/>
      <c r="X901" s="7"/>
      <c r="Y901" s="7"/>
    </row>
    <row r="902" spans="18:25" ht="13" x14ac:dyDescent="0.3">
      <c r="R902" s="9"/>
      <c r="T902" s="9"/>
      <c r="U902" s="9"/>
      <c r="X902" s="7"/>
      <c r="Y902" s="7"/>
    </row>
    <row r="903" spans="18:25" ht="13" x14ac:dyDescent="0.3">
      <c r="R903" s="9"/>
      <c r="T903" s="9"/>
      <c r="U903" s="9"/>
      <c r="X903" s="7"/>
      <c r="Y903" s="7"/>
    </row>
    <row r="904" spans="18:25" ht="13" x14ac:dyDescent="0.3">
      <c r="R904" s="9"/>
      <c r="T904" s="9"/>
      <c r="U904" s="9"/>
      <c r="X904" s="7"/>
      <c r="Y904" s="7"/>
    </row>
    <row r="905" spans="18:25" ht="13" x14ac:dyDescent="0.3">
      <c r="R905" s="9"/>
      <c r="T905" s="9"/>
      <c r="U905" s="9"/>
      <c r="X905" s="7"/>
      <c r="Y905" s="7"/>
    </row>
    <row r="906" spans="18:25" ht="13" x14ac:dyDescent="0.3">
      <c r="R906" s="9"/>
      <c r="T906" s="9"/>
      <c r="U906" s="9"/>
      <c r="X906" s="7"/>
      <c r="Y906" s="7"/>
    </row>
    <row r="907" spans="18:25" ht="13" x14ac:dyDescent="0.3">
      <c r="R907" s="9"/>
      <c r="T907" s="9"/>
      <c r="U907" s="9"/>
      <c r="X907" s="7"/>
      <c r="Y907" s="7"/>
    </row>
    <row r="908" spans="18:25" ht="13" x14ac:dyDescent="0.3">
      <c r="R908" s="9"/>
      <c r="T908" s="9"/>
      <c r="U908" s="9"/>
      <c r="X908" s="7"/>
      <c r="Y908" s="7"/>
    </row>
    <row r="909" spans="18:25" ht="13" x14ac:dyDescent="0.3">
      <c r="R909" s="9"/>
      <c r="T909" s="9"/>
      <c r="U909" s="9"/>
      <c r="X909" s="7"/>
      <c r="Y909" s="7"/>
    </row>
    <row r="910" spans="18:25" ht="13" x14ac:dyDescent="0.3">
      <c r="R910" s="9"/>
      <c r="T910" s="9"/>
      <c r="U910" s="9"/>
      <c r="X910" s="7"/>
      <c r="Y910" s="7"/>
    </row>
    <row r="911" spans="18:25" ht="13" x14ac:dyDescent="0.3">
      <c r="R911" s="9"/>
      <c r="T911" s="9"/>
      <c r="U911" s="9"/>
      <c r="X911" s="7"/>
      <c r="Y911" s="7"/>
    </row>
    <row r="912" spans="18:25" ht="13" x14ac:dyDescent="0.3">
      <c r="R912" s="9"/>
      <c r="T912" s="9"/>
      <c r="U912" s="9"/>
      <c r="X912" s="7"/>
      <c r="Y912" s="7"/>
    </row>
    <row r="913" spans="18:25" ht="13" x14ac:dyDescent="0.3">
      <c r="R913" s="9"/>
      <c r="T913" s="9"/>
      <c r="U913" s="9"/>
      <c r="X913" s="7"/>
      <c r="Y913" s="7"/>
    </row>
    <row r="914" spans="18:25" ht="13" x14ac:dyDescent="0.3">
      <c r="R914" s="9"/>
      <c r="T914" s="9"/>
      <c r="U914" s="9"/>
      <c r="X914" s="7"/>
      <c r="Y914" s="7"/>
    </row>
    <row r="915" spans="18:25" ht="13" x14ac:dyDescent="0.3">
      <c r="R915" s="9"/>
      <c r="T915" s="9"/>
      <c r="U915" s="9"/>
      <c r="X915" s="7"/>
      <c r="Y915" s="7"/>
    </row>
    <row r="916" spans="18:25" ht="13" x14ac:dyDescent="0.3">
      <c r="R916" s="9"/>
      <c r="T916" s="9"/>
      <c r="U916" s="9"/>
      <c r="X916" s="7"/>
      <c r="Y916" s="7"/>
    </row>
    <row r="917" spans="18:25" ht="13" x14ac:dyDescent="0.3">
      <c r="R917" s="9"/>
      <c r="T917" s="9"/>
      <c r="U917" s="9"/>
      <c r="X917" s="7"/>
      <c r="Y917" s="7"/>
    </row>
    <row r="918" spans="18:25" ht="13" x14ac:dyDescent="0.3">
      <c r="R918" s="9"/>
      <c r="T918" s="9"/>
      <c r="U918" s="9"/>
      <c r="X918" s="7"/>
      <c r="Y918" s="7"/>
    </row>
    <row r="919" spans="18:25" ht="13" x14ac:dyDescent="0.3">
      <c r="R919" s="9"/>
      <c r="T919" s="9"/>
      <c r="U919" s="9"/>
      <c r="X919" s="7"/>
      <c r="Y919" s="7"/>
    </row>
    <row r="920" spans="18:25" ht="13" x14ac:dyDescent="0.3">
      <c r="R920" s="9"/>
      <c r="T920" s="9"/>
      <c r="U920" s="9"/>
      <c r="X920" s="7"/>
      <c r="Y920" s="7"/>
    </row>
    <row r="921" spans="18:25" ht="13" x14ac:dyDescent="0.3">
      <c r="R921" s="9"/>
      <c r="T921" s="9"/>
      <c r="U921" s="9"/>
      <c r="X921" s="7"/>
      <c r="Y921" s="7"/>
    </row>
    <row r="922" spans="18:25" ht="13" x14ac:dyDescent="0.3">
      <c r="R922" s="9"/>
      <c r="T922" s="9"/>
      <c r="U922" s="9"/>
      <c r="X922" s="7"/>
      <c r="Y922" s="7"/>
    </row>
    <row r="923" spans="18:25" ht="13" x14ac:dyDescent="0.3">
      <c r="R923" s="9"/>
      <c r="T923" s="9"/>
      <c r="U923" s="9"/>
      <c r="X923" s="7"/>
      <c r="Y923" s="7"/>
    </row>
    <row r="924" spans="18:25" ht="13" x14ac:dyDescent="0.3">
      <c r="R924" s="9"/>
      <c r="T924" s="9"/>
      <c r="U924" s="9"/>
      <c r="X924" s="7"/>
      <c r="Y924" s="7"/>
    </row>
    <row r="925" spans="18:25" ht="13" x14ac:dyDescent="0.3">
      <c r="R925" s="9"/>
      <c r="T925" s="9"/>
      <c r="U925" s="9"/>
      <c r="X925" s="7"/>
      <c r="Y925" s="7"/>
    </row>
    <row r="926" spans="18:25" ht="13" x14ac:dyDescent="0.3">
      <c r="R926" s="9"/>
      <c r="T926" s="9"/>
      <c r="U926" s="9"/>
      <c r="X926" s="7"/>
      <c r="Y926" s="7"/>
    </row>
    <row r="927" spans="18:25" ht="13" x14ac:dyDescent="0.3">
      <c r="R927" s="9"/>
      <c r="T927" s="9"/>
      <c r="U927" s="9"/>
      <c r="X927" s="7"/>
      <c r="Y927" s="7"/>
    </row>
    <row r="928" spans="18:25" ht="13" x14ac:dyDescent="0.3">
      <c r="R928" s="9"/>
      <c r="T928" s="9"/>
      <c r="U928" s="9"/>
      <c r="X928" s="7"/>
      <c r="Y928" s="7"/>
    </row>
    <row r="929" spans="18:25" ht="13" x14ac:dyDescent="0.3">
      <c r="R929" s="9"/>
      <c r="T929" s="9"/>
      <c r="U929" s="9"/>
      <c r="X929" s="7"/>
      <c r="Y929" s="7"/>
    </row>
    <row r="930" spans="18:25" ht="13" x14ac:dyDescent="0.3">
      <c r="R930" s="9"/>
      <c r="T930" s="9"/>
      <c r="U930" s="9"/>
      <c r="X930" s="7"/>
      <c r="Y930" s="7"/>
    </row>
    <row r="931" spans="18:25" ht="13" x14ac:dyDescent="0.3">
      <c r="R931" s="9"/>
      <c r="T931" s="9"/>
      <c r="U931" s="9"/>
      <c r="X931" s="7"/>
      <c r="Y931" s="7"/>
    </row>
    <row r="932" spans="18:25" ht="13" x14ac:dyDescent="0.3">
      <c r="R932" s="9"/>
      <c r="T932" s="9"/>
      <c r="U932" s="9"/>
      <c r="X932" s="7"/>
      <c r="Y932" s="7"/>
    </row>
    <row r="933" spans="18:25" ht="13" x14ac:dyDescent="0.3">
      <c r="R933" s="9"/>
      <c r="T933" s="9"/>
      <c r="U933" s="9"/>
      <c r="X933" s="7"/>
      <c r="Y933" s="7"/>
    </row>
    <row r="934" spans="18:25" ht="13" x14ac:dyDescent="0.3">
      <c r="R934" s="9"/>
      <c r="T934" s="9"/>
      <c r="U934" s="9"/>
      <c r="X934" s="7"/>
      <c r="Y934" s="7"/>
    </row>
    <row r="935" spans="18:25" ht="13" x14ac:dyDescent="0.3">
      <c r="R935" s="9"/>
      <c r="T935" s="9"/>
      <c r="U935" s="9"/>
      <c r="X935" s="7"/>
      <c r="Y935" s="7"/>
    </row>
    <row r="936" spans="18:25" ht="13" x14ac:dyDescent="0.3">
      <c r="R936" s="9"/>
      <c r="T936" s="9"/>
      <c r="U936" s="9"/>
      <c r="X936" s="7"/>
      <c r="Y936" s="7"/>
    </row>
    <row r="937" spans="18:25" ht="13" x14ac:dyDescent="0.3">
      <c r="R937" s="9"/>
      <c r="T937" s="9"/>
      <c r="U937" s="9"/>
      <c r="X937" s="7"/>
      <c r="Y937" s="7"/>
    </row>
    <row r="938" spans="18:25" ht="13" x14ac:dyDescent="0.3">
      <c r="R938" s="9"/>
      <c r="T938" s="9"/>
      <c r="U938" s="9"/>
      <c r="X938" s="7"/>
      <c r="Y938" s="7"/>
    </row>
    <row r="939" spans="18:25" ht="13" x14ac:dyDescent="0.3">
      <c r="R939" s="9"/>
      <c r="T939" s="9"/>
      <c r="U939" s="9"/>
      <c r="X939" s="7"/>
      <c r="Y939" s="7"/>
    </row>
    <row r="940" spans="18:25" ht="13" x14ac:dyDescent="0.3">
      <c r="R940" s="9"/>
      <c r="T940" s="9"/>
      <c r="U940" s="9"/>
      <c r="X940" s="7"/>
      <c r="Y940" s="7"/>
    </row>
    <row r="941" spans="18:25" ht="13" x14ac:dyDescent="0.3">
      <c r="R941" s="9"/>
      <c r="T941" s="9"/>
      <c r="U941" s="9"/>
      <c r="X941" s="7"/>
      <c r="Y941" s="7"/>
    </row>
    <row r="942" spans="18:25" ht="13" x14ac:dyDescent="0.3">
      <c r="R942" s="9"/>
      <c r="T942" s="9"/>
      <c r="U942" s="9"/>
      <c r="X942" s="7"/>
      <c r="Y942" s="7"/>
    </row>
    <row r="943" spans="18:25" ht="13" x14ac:dyDescent="0.3">
      <c r="R943" s="9"/>
      <c r="T943" s="9"/>
      <c r="U943" s="9"/>
      <c r="X943" s="7"/>
      <c r="Y943" s="7"/>
    </row>
    <row r="944" spans="18:25" ht="13" x14ac:dyDescent="0.3">
      <c r="R944" s="9"/>
      <c r="T944" s="9"/>
      <c r="U944" s="9"/>
      <c r="X944" s="7"/>
      <c r="Y944" s="7"/>
    </row>
    <row r="945" spans="18:25" ht="13" x14ac:dyDescent="0.3">
      <c r="R945" s="9"/>
      <c r="T945" s="9"/>
      <c r="U945" s="9"/>
      <c r="X945" s="7"/>
      <c r="Y945" s="7"/>
    </row>
    <row r="946" spans="18:25" ht="13" x14ac:dyDescent="0.3">
      <c r="R946" s="9"/>
      <c r="T946" s="9"/>
      <c r="U946" s="9"/>
      <c r="X946" s="7"/>
      <c r="Y946" s="7"/>
    </row>
    <row r="947" spans="18:25" ht="13" x14ac:dyDescent="0.3">
      <c r="R947" s="9"/>
      <c r="T947" s="9"/>
      <c r="U947" s="9"/>
      <c r="X947" s="7"/>
      <c r="Y947" s="7"/>
    </row>
    <row r="948" spans="18:25" ht="13" x14ac:dyDescent="0.3">
      <c r="R948" s="9"/>
      <c r="T948" s="9"/>
      <c r="U948" s="9"/>
      <c r="X948" s="7"/>
      <c r="Y948" s="7"/>
    </row>
    <row r="949" spans="18:25" ht="13" x14ac:dyDescent="0.3">
      <c r="R949" s="9"/>
      <c r="T949" s="9"/>
      <c r="U949" s="9"/>
      <c r="X949" s="7"/>
      <c r="Y949" s="7"/>
    </row>
    <row r="950" spans="18:25" ht="13" x14ac:dyDescent="0.3">
      <c r="R950" s="9"/>
      <c r="T950" s="9"/>
      <c r="U950" s="9"/>
      <c r="X950" s="7"/>
      <c r="Y950" s="7"/>
    </row>
    <row r="951" spans="18:25" ht="13" x14ac:dyDescent="0.3">
      <c r="R951" s="9"/>
      <c r="T951" s="9"/>
      <c r="U951" s="9"/>
      <c r="X951" s="7"/>
      <c r="Y951" s="7"/>
    </row>
    <row r="952" spans="18:25" ht="13" x14ac:dyDescent="0.3">
      <c r="R952" s="9"/>
      <c r="T952" s="9"/>
      <c r="U952" s="9"/>
      <c r="X952" s="7"/>
      <c r="Y952" s="7"/>
    </row>
    <row r="953" spans="18:25" ht="13" x14ac:dyDescent="0.3">
      <c r="R953" s="9"/>
      <c r="T953" s="9"/>
      <c r="U953" s="9"/>
      <c r="X953" s="7"/>
      <c r="Y953" s="7"/>
    </row>
    <row r="954" spans="18:25" ht="13" x14ac:dyDescent="0.3">
      <c r="R954" s="9"/>
      <c r="T954" s="9"/>
      <c r="U954" s="9"/>
      <c r="X954" s="7"/>
      <c r="Y954" s="7"/>
    </row>
    <row r="955" spans="18:25" ht="13" x14ac:dyDescent="0.3">
      <c r="R955" s="9"/>
      <c r="T955" s="9"/>
      <c r="U955" s="9"/>
      <c r="X955" s="7"/>
      <c r="Y955" s="7"/>
    </row>
    <row r="956" spans="18:25" ht="13" x14ac:dyDescent="0.3">
      <c r="R956" s="9"/>
      <c r="T956" s="9"/>
      <c r="U956" s="9"/>
      <c r="X956" s="7"/>
      <c r="Y956" s="7"/>
    </row>
    <row r="957" spans="18:25" ht="13" x14ac:dyDescent="0.3">
      <c r="R957" s="9"/>
      <c r="T957" s="9"/>
      <c r="U957" s="9"/>
      <c r="X957" s="7"/>
      <c r="Y957" s="7"/>
    </row>
    <row r="958" spans="18:25" ht="13" x14ac:dyDescent="0.3">
      <c r="R958" s="9"/>
      <c r="T958" s="9"/>
      <c r="U958" s="9"/>
      <c r="X958" s="7"/>
      <c r="Y958" s="7"/>
    </row>
    <row r="959" spans="18:25" ht="13" x14ac:dyDescent="0.3">
      <c r="R959" s="9"/>
      <c r="T959" s="9"/>
      <c r="U959" s="9"/>
      <c r="X959" s="7"/>
      <c r="Y959" s="7"/>
    </row>
    <row r="960" spans="18:25" ht="13" x14ac:dyDescent="0.3">
      <c r="R960" s="9"/>
      <c r="T960" s="9"/>
      <c r="U960" s="9"/>
      <c r="X960" s="7"/>
      <c r="Y960" s="7"/>
    </row>
    <row r="961" spans="18:25" ht="13" x14ac:dyDescent="0.3">
      <c r="R961" s="9"/>
      <c r="T961" s="9"/>
      <c r="U961" s="9"/>
      <c r="X961" s="7"/>
      <c r="Y961" s="7"/>
    </row>
    <row r="962" spans="18:25" ht="13" x14ac:dyDescent="0.3">
      <c r="R962" s="9"/>
      <c r="T962" s="9"/>
      <c r="U962" s="9"/>
      <c r="X962" s="7"/>
      <c r="Y962" s="7"/>
    </row>
    <row r="963" spans="18:25" ht="13" x14ac:dyDescent="0.3">
      <c r="R963" s="9"/>
      <c r="T963" s="9"/>
      <c r="U963" s="9"/>
      <c r="X963" s="7"/>
      <c r="Y963" s="7"/>
    </row>
    <row r="964" spans="18:25" ht="13" x14ac:dyDescent="0.3">
      <c r="R964" s="9"/>
      <c r="T964" s="9"/>
      <c r="U964" s="9"/>
      <c r="X964" s="7"/>
      <c r="Y964" s="7"/>
    </row>
    <row r="965" spans="18:25" ht="13" x14ac:dyDescent="0.3">
      <c r="R965" s="9"/>
      <c r="T965" s="9"/>
      <c r="U965" s="9"/>
      <c r="X965" s="7"/>
      <c r="Y965" s="7"/>
    </row>
    <row r="966" spans="18:25" ht="15.75" customHeight="1" x14ac:dyDescent="0.3">
      <c r="X966" s="7"/>
    </row>
    <row r="967" spans="18:25" ht="15.75" customHeight="1" x14ac:dyDescent="0.3">
      <c r="X967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"/>
  <sheetViews>
    <sheetView workbookViewId="0">
      <selection activeCell="B14" sqref="B14"/>
    </sheetView>
  </sheetViews>
  <sheetFormatPr defaultColWidth="12.7265625" defaultRowHeight="15.75" customHeight="1" x14ac:dyDescent="0.25"/>
  <cols>
    <col min="3" max="3" width="14.1796875" bestFit="1" customWidth="1"/>
    <col min="4" max="4" width="14.453125" bestFit="1" customWidth="1"/>
  </cols>
  <sheetData>
    <row r="1" spans="1:5" ht="15.75" customHeight="1" x14ac:dyDescent="0.25">
      <c r="A1" s="3" t="s">
        <v>68</v>
      </c>
      <c r="B1" s="3"/>
      <c r="C1" s="3"/>
      <c r="D1" s="3"/>
      <c r="E1" s="3"/>
    </row>
    <row r="2" spans="1:5" ht="15.75" customHeight="1" x14ac:dyDescent="0.25">
      <c r="A2" s="3"/>
      <c r="B2" s="3"/>
      <c r="C2" s="3"/>
      <c r="D2" s="3"/>
      <c r="E2" s="3"/>
    </row>
    <row r="3" spans="1:5" ht="15.75" customHeight="1" x14ac:dyDescent="0.25">
      <c r="A3" s="3"/>
      <c r="B3" s="3"/>
      <c r="C3" s="4" t="s">
        <v>69</v>
      </c>
      <c r="D3" s="4" t="s">
        <v>70</v>
      </c>
      <c r="E3" s="4" t="s">
        <v>71</v>
      </c>
    </row>
    <row r="4" spans="1:5" ht="15.75" customHeight="1" x14ac:dyDescent="0.25">
      <c r="A4" s="3" t="s">
        <v>72</v>
      </c>
      <c r="B4" s="3" t="s">
        <v>73</v>
      </c>
      <c r="C4" s="5">
        <v>45.069000000000003</v>
      </c>
      <c r="D4" s="5">
        <v>13.6335</v>
      </c>
      <c r="E4" s="6" t="s">
        <v>74</v>
      </c>
    </row>
    <row r="5" spans="1:5" ht="15.75" customHeight="1" x14ac:dyDescent="0.25">
      <c r="A5" s="9" t="s">
        <v>75</v>
      </c>
      <c r="B5" s="9" t="s">
        <v>76</v>
      </c>
      <c r="C5" s="11">
        <v>45.063200000000002</v>
      </c>
      <c r="D5" s="11">
        <v>13.6592</v>
      </c>
      <c r="E5" s="6" t="s">
        <v>74</v>
      </c>
    </row>
    <row r="6" spans="1:5" ht="12.5" x14ac:dyDescent="0.25">
      <c r="A6" s="9" t="s">
        <v>77</v>
      </c>
      <c r="B6" s="9" t="s">
        <v>78</v>
      </c>
      <c r="C6" s="5">
        <v>45.056167000000002</v>
      </c>
      <c r="D6" s="9">
        <v>13.670778</v>
      </c>
      <c r="E6" s="6" t="s">
        <v>74</v>
      </c>
    </row>
    <row r="7" spans="1:5" ht="15.75" customHeight="1" x14ac:dyDescent="0.35">
      <c r="C7" s="1"/>
      <c r="D7" s="1"/>
    </row>
    <row r="9" spans="1:5" ht="13" x14ac:dyDescent="0.3">
      <c r="C9" s="22"/>
      <c r="D9" s="2"/>
    </row>
  </sheetData>
  <conditionalFormatting sqref="C4:D4 C6:D9">
    <cfRule type="notContainsBlanks" dxfId="0" priority="1">
      <formula>LEN(TRIM(C4))&gt;0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Mikac</dc:creator>
  <cp:keywords/>
  <dc:description/>
  <cp:lastModifiedBy>Barbara Mikac</cp:lastModifiedBy>
  <cp:revision/>
  <dcterms:created xsi:type="dcterms:W3CDTF">2024-06-18T05:30:28Z</dcterms:created>
  <dcterms:modified xsi:type="dcterms:W3CDTF">2026-06-08T06:34:50Z</dcterms:modified>
  <cp:category/>
  <cp:contentStatus/>
</cp:coreProperties>
</file>