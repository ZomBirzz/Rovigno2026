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ac\OneDrive\Documents\Documents\Università Bologna\Didattica\Laboratorio sperimentale in mare\Datasets\"/>
    </mc:Choice>
  </mc:AlternateContent>
  <xr:revisionPtr revIDLastSave="0" documentId="13_ncr:1_{ADD137D7-B320-4EDC-97A8-1FB8D2C8B534}" xr6:coauthVersionLast="47" xr6:coauthVersionMax="47" xr10:uidLastSave="{00000000-0000-0000-0000-000000000000}"/>
  <bookViews>
    <workbookView xWindow="-110" yWindow="-110" windowWidth="19420" windowHeight="10300" xr2:uid="{01F0BC9A-731B-DA48-8BCD-36F0F6A3DBE1}"/>
  </bookViews>
  <sheets>
    <sheet name="Foglio1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" i="1" l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3" i="1"/>
  <c r="Y4" i="1"/>
  <c r="Y5" i="1"/>
  <c r="Y6" i="1"/>
  <c r="Y7" i="1"/>
  <c r="Y8" i="1"/>
  <c r="Y9" i="1"/>
  <c r="Y10" i="1"/>
  <c r="Y11" i="1"/>
  <c r="Y12" i="1"/>
  <c r="Y13" i="1"/>
  <c r="Y2" i="1"/>
</calcChain>
</file>

<file path=xl/sharedStrings.xml><?xml version="1.0" encoding="utf-8"?>
<sst xmlns="http://schemas.openxmlformats.org/spreadsheetml/2006/main" count="224" uniqueCount="88">
  <si>
    <t>SITE</t>
  </si>
  <si>
    <t>REPLICA</t>
  </si>
  <si>
    <t>Paracentrotus lividus</t>
  </si>
  <si>
    <t>Dichtyota dicotoma</t>
  </si>
  <si>
    <t>Padina pavonica</t>
  </si>
  <si>
    <t>Laurencia obtusa</t>
  </si>
  <si>
    <t>Aplysina aerophoba</t>
  </si>
  <si>
    <t>Flabellia petiolata</t>
  </si>
  <si>
    <t>Halimeda tuna</t>
  </si>
  <si>
    <t>Acetabularia acetabulum</t>
  </si>
  <si>
    <t>Corallinaceae</t>
  </si>
  <si>
    <t>Amphiroa rigida</t>
  </si>
  <si>
    <t>Balanidae</t>
  </si>
  <si>
    <t>Arca noae</t>
  </si>
  <si>
    <r>
      <rPr>
        <i/>
        <sz val="10"/>
        <color theme="1"/>
        <rFont val="Arial"/>
        <family val="2"/>
      </rPr>
      <t>Cliona</t>
    </r>
    <r>
      <rPr>
        <sz val="10"/>
        <color theme="1"/>
        <rFont val="Arial"/>
        <family val="2"/>
      </rPr>
      <t xml:space="preserve"> sp.</t>
    </r>
  </si>
  <si>
    <r>
      <rPr>
        <i/>
        <sz val="10"/>
        <color theme="1"/>
        <rFont val="Arial"/>
        <family val="2"/>
      </rPr>
      <t>Corallina</t>
    </r>
    <r>
      <rPr>
        <sz val="10"/>
        <color theme="1"/>
        <rFont val="Arial"/>
        <family val="2"/>
      </rPr>
      <t xml:space="preserve"> sp.</t>
    </r>
  </si>
  <si>
    <t>Patella caerulea</t>
  </si>
  <si>
    <t>Codium bursa</t>
  </si>
  <si>
    <t xml:space="preserve">Vincenzo </t>
  </si>
  <si>
    <t>A</t>
  </si>
  <si>
    <t>Enrico</t>
  </si>
  <si>
    <t>Simone</t>
  </si>
  <si>
    <t>Sabrina</t>
  </si>
  <si>
    <t xml:space="preserve">Sabrina </t>
  </si>
  <si>
    <t>Paolo</t>
  </si>
  <si>
    <t xml:space="preserve">Paolo </t>
  </si>
  <si>
    <t>Beatrice</t>
  </si>
  <si>
    <t>Luigia</t>
  </si>
  <si>
    <t>Matilde</t>
  </si>
  <si>
    <t xml:space="preserve">Matilde </t>
  </si>
  <si>
    <t>Samantha</t>
  </si>
  <si>
    <t>Lisa</t>
  </si>
  <si>
    <t xml:space="preserve">Aurora </t>
  </si>
  <si>
    <t>Eugenia</t>
  </si>
  <si>
    <t>Althea</t>
  </si>
  <si>
    <t>B</t>
  </si>
  <si>
    <t>Greta</t>
  </si>
  <si>
    <t>Marika</t>
  </si>
  <si>
    <t>Mattia</t>
  </si>
  <si>
    <t>Giuseppe</t>
  </si>
  <si>
    <t>Rebecca</t>
  </si>
  <si>
    <t xml:space="preserve">Rebecca </t>
  </si>
  <si>
    <t>Julia</t>
  </si>
  <si>
    <t>Alberto</t>
  </si>
  <si>
    <t>Mattia B</t>
  </si>
  <si>
    <t>Folco</t>
  </si>
  <si>
    <t>Luigi</t>
  </si>
  <si>
    <t>Alessia Gentiluomo</t>
  </si>
  <si>
    <t>C</t>
  </si>
  <si>
    <t>Riccardo Brusa</t>
  </si>
  <si>
    <t>Rebecca Tollardo</t>
  </si>
  <si>
    <t>Aurora Tomasini</t>
  </si>
  <si>
    <t>Gloria Metti</t>
  </si>
  <si>
    <t>Annalisa</t>
  </si>
  <si>
    <t>Lorenzo savese</t>
  </si>
  <si>
    <t>Letizia Ripa</t>
  </si>
  <si>
    <t>Roca Benedetta</t>
  </si>
  <si>
    <t>Fabiola Cecchini</t>
  </si>
  <si>
    <t>Lorenzo Savese</t>
  </si>
  <si>
    <t>Chiara scandellari</t>
  </si>
  <si>
    <t>Lorenzo M.</t>
  </si>
  <si>
    <t xml:space="preserve">Lorenzo M. </t>
  </si>
  <si>
    <t>Lorenzo M</t>
  </si>
  <si>
    <t>Tollardo/Cecchini prova</t>
  </si>
  <si>
    <t>Villas Rubin</t>
  </si>
  <si>
    <t>Sito A</t>
  </si>
  <si>
    <t>Amarin</t>
  </si>
  <si>
    <t>Sito B</t>
  </si>
  <si>
    <t>Uvala Lone</t>
  </si>
  <si>
    <t>Sito C</t>
  </si>
  <si>
    <t>metadata</t>
  </si>
  <si>
    <t>Lat °N (WGS84)</t>
  </si>
  <si>
    <t>Lon °E (WGS84)</t>
  </si>
  <si>
    <t>depth</t>
  </si>
  <si>
    <t>0-1 m</t>
  </si>
  <si>
    <t>Sperimentatore</t>
  </si>
  <si>
    <r>
      <rPr>
        <b/>
        <sz val="10"/>
        <color rgb="FF000000"/>
        <rFont val="Arial"/>
        <family val="2"/>
      </rPr>
      <t>GRUPPO 1</t>
    </r>
    <r>
      <rPr>
        <sz val="10"/>
        <color rgb="FF000000"/>
        <rFont val="Arial"/>
        <family val="2"/>
      </rPr>
      <t xml:space="preserve"> </t>
    </r>
  </si>
  <si>
    <t>Roccia nuda</t>
  </si>
  <si>
    <r>
      <t xml:space="preserve">Ircinia </t>
    </r>
    <r>
      <rPr>
        <sz val="10"/>
        <color theme="1"/>
        <rFont val="Arial"/>
        <family val="2"/>
      </rPr>
      <t>sp.</t>
    </r>
  </si>
  <si>
    <t>Feltro algale</t>
  </si>
  <si>
    <t>TOTALE %</t>
  </si>
  <si>
    <t>Paguroidea (n° individui)</t>
  </si>
  <si>
    <r>
      <t xml:space="preserve">Holothuria tubulosa </t>
    </r>
    <r>
      <rPr>
        <sz val="10"/>
        <color theme="1"/>
        <rFont val="Arial"/>
        <family val="2"/>
      </rPr>
      <t>(n° individui)</t>
    </r>
  </si>
  <si>
    <r>
      <t xml:space="preserve">Maja squinado </t>
    </r>
    <r>
      <rPr>
        <sz val="10"/>
        <color theme="1"/>
        <rFont val="Arial"/>
        <family val="2"/>
      </rPr>
      <t>(n° individui)</t>
    </r>
  </si>
  <si>
    <t>Gastrochaena dubia</t>
  </si>
  <si>
    <r>
      <rPr>
        <i/>
        <sz val="10"/>
        <color theme="1"/>
        <rFont val="Arial"/>
        <family val="2"/>
      </rPr>
      <t>Cerithium vulgatum</t>
    </r>
    <r>
      <rPr>
        <sz val="10"/>
        <color theme="1"/>
        <rFont val="Arial"/>
        <family val="2"/>
      </rPr>
      <t xml:space="preserve"> (n° individui)</t>
    </r>
  </si>
  <si>
    <r>
      <t xml:space="preserve">Hexaplex trunculus </t>
    </r>
    <r>
      <rPr>
        <sz val="10"/>
        <color theme="1"/>
        <rFont val="Arial"/>
        <family val="2"/>
      </rPr>
      <t>(n° individui)</t>
    </r>
  </si>
  <si>
    <r>
      <rPr>
        <i/>
        <sz val="10"/>
        <color theme="1"/>
        <rFont val="Arial"/>
        <family val="2"/>
      </rPr>
      <t>Conus</t>
    </r>
    <r>
      <rPr>
        <sz val="10"/>
        <color theme="1"/>
        <rFont val="Arial"/>
        <family val="2"/>
      </rPr>
      <t xml:space="preserve"> sp. e </t>
    </r>
    <r>
      <rPr>
        <i/>
        <sz val="10"/>
        <color theme="1"/>
        <rFont val="Arial"/>
        <family val="2"/>
      </rPr>
      <t xml:space="preserve">Phorcus </t>
    </r>
    <r>
      <rPr>
        <sz val="10"/>
        <color theme="1"/>
        <rFont val="Arial"/>
        <family val="2"/>
      </rPr>
      <t>sp. (n° individui)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</si>
</sst>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2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</font>
    <font>
      <sz val="11"/>
      <color rgb="FFFF0000"/>
      <name val="Calibri"/>
    </font>
    <font>
      <sz val="10"/>
      <color rgb="FF000000"/>
      <name val="Arial"/>
    </font>
    <font>
      <sz val="11"/>
      <color rgb="FF000000"/>
      <name val="Calibri"/>
      <scheme val="minor"/>
    </font>
    <font>
      <sz val="10"/>
      <color theme="1"/>
      <name val="Calibri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9" fillId="0" borderId="0" xfId="0" applyFont="1"/>
    <xf numFmtId="0" fontId="2" fillId="0" borderId="0" xfId="0" applyFont="1" applyAlignment="1">
      <alignment horizontal="right"/>
    </xf>
    <xf numFmtId="0" fontId="11" fillId="0" borderId="0" xfId="0" applyFont="1"/>
    <xf numFmtId="0" fontId="8" fillId="0" borderId="0" xfId="0" applyFont="1"/>
    <xf numFmtId="0" fontId="10" fillId="0" borderId="0" xfId="0" applyFont="1"/>
    <xf numFmtId="0" fontId="2" fillId="0" borderId="0" xfId="0" applyFont="1"/>
    <xf numFmtId="0" fontId="1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right"/>
    </xf>
    <xf numFmtId="0" fontId="12" fillId="0" borderId="0" xfId="0" applyFont="1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A7BC-6F22-384D-879D-0142C10E3C32}">
  <dimension ref="A1:AF91"/>
  <sheetViews>
    <sheetView tabSelected="1" workbookViewId="0">
      <selection activeCell="U1" sqref="U1"/>
    </sheetView>
  </sheetViews>
  <sheetFormatPr defaultColWidth="12.6640625" defaultRowHeight="13" x14ac:dyDescent="0.3"/>
  <cols>
    <col min="1" max="1" width="15.1640625" style="12" customWidth="1"/>
    <col min="2" max="4" width="12.6640625" style="12"/>
    <col min="5" max="5" width="12.1640625" style="12" customWidth="1"/>
    <col min="6" max="10" width="12.6640625" style="12"/>
    <col min="11" max="11" width="15.83203125" style="12" customWidth="1"/>
    <col min="12" max="12" width="13.83203125" style="12" customWidth="1"/>
    <col min="13" max="13" width="14.33203125" style="12" customWidth="1"/>
    <col min="14" max="19" width="12.6640625" style="12"/>
    <col min="20" max="20" width="15" style="12" customWidth="1"/>
    <col min="21" max="21" width="13.6640625" style="12" customWidth="1"/>
    <col min="22" max="22" width="12.6640625" style="12"/>
    <col min="23" max="23" width="12.4140625" style="12" customWidth="1"/>
    <col min="24" max="24" width="12.6640625" style="12"/>
    <col min="25" max="25" width="12.6640625" style="11"/>
    <col min="26" max="26" width="12.6640625" style="12"/>
    <col min="27" max="28" width="11.1640625" style="12" customWidth="1"/>
    <col min="29" max="29" width="12.5" style="12" customWidth="1"/>
    <col min="30" max="30" width="11.1640625" style="12" customWidth="1"/>
    <col min="31" max="31" width="12.6640625" style="12"/>
    <col min="32" max="32" width="11.1640625" style="12" customWidth="1"/>
    <col min="33" max="16384" width="12.6640625" style="12"/>
  </cols>
  <sheetData>
    <row r="1" spans="1:32" x14ac:dyDescent="0.3">
      <c r="A1" s="10" t="s">
        <v>75</v>
      </c>
      <c r="B1" s="10" t="s">
        <v>76</v>
      </c>
      <c r="C1" s="9" t="s">
        <v>0</v>
      </c>
      <c r="D1" s="9" t="s">
        <v>1</v>
      </c>
      <c r="E1" s="13" t="s">
        <v>9</v>
      </c>
      <c r="F1" s="13" t="s">
        <v>11</v>
      </c>
      <c r="G1" s="13" t="s">
        <v>17</v>
      </c>
      <c r="H1" s="12" t="s">
        <v>15</v>
      </c>
      <c r="I1" s="12" t="s">
        <v>10</v>
      </c>
      <c r="J1" s="13" t="s">
        <v>3</v>
      </c>
      <c r="K1" s="13" t="s">
        <v>7</v>
      </c>
      <c r="L1" s="13" t="s">
        <v>8</v>
      </c>
      <c r="M1" s="13" t="s">
        <v>5</v>
      </c>
      <c r="N1" s="13" t="s">
        <v>4</v>
      </c>
      <c r="O1" s="12" t="s">
        <v>79</v>
      </c>
      <c r="P1" s="13" t="s">
        <v>6</v>
      </c>
      <c r="Q1" s="12" t="s">
        <v>14</v>
      </c>
      <c r="R1" s="13" t="s">
        <v>78</v>
      </c>
      <c r="S1" s="13" t="s">
        <v>13</v>
      </c>
      <c r="T1" s="13" t="s">
        <v>84</v>
      </c>
      <c r="U1" s="13" t="s">
        <v>16</v>
      </c>
      <c r="V1" s="12" t="s">
        <v>12</v>
      </c>
      <c r="W1" s="13" t="s">
        <v>2</v>
      </c>
      <c r="X1" s="12" t="s">
        <v>77</v>
      </c>
      <c r="Y1" s="11" t="s">
        <v>80</v>
      </c>
      <c r="AA1" s="12" t="s">
        <v>85</v>
      </c>
      <c r="AB1" s="12" t="s">
        <v>87</v>
      </c>
      <c r="AC1" s="13" t="s">
        <v>86</v>
      </c>
      <c r="AD1" s="13" t="s">
        <v>82</v>
      </c>
      <c r="AE1" s="13" t="s">
        <v>83</v>
      </c>
      <c r="AF1" s="12" t="s">
        <v>81</v>
      </c>
    </row>
    <row r="2" spans="1:32" ht="15.5" customHeight="1" x14ac:dyDescent="0.3">
      <c r="A2" s="12" t="s">
        <v>18</v>
      </c>
      <c r="B2" s="12">
        <v>1</v>
      </c>
      <c r="C2" s="12" t="s">
        <v>19</v>
      </c>
      <c r="D2" s="12">
        <v>1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3</v>
      </c>
      <c r="K2" s="12">
        <v>8</v>
      </c>
      <c r="L2" s="12">
        <v>0</v>
      </c>
      <c r="M2" s="12">
        <v>4</v>
      </c>
      <c r="N2" s="12">
        <v>10</v>
      </c>
      <c r="O2" s="12">
        <v>96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3</v>
      </c>
      <c r="X2" s="12">
        <v>0</v>
      </c>
      <c r="Y2" s="11">
        <f>SUM(E2:X2)</f>
        <v>124</v>
      </c>
      <c r="AA2" s="12">
        <v>48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</row>
    <row r="3" spans="1:32" ht="15.5" customHeight="1" x14ac:dyDescent="0.3">
      <c r="A3" s="12" t="s">
        <v>18</v>
      </c>
      <c r="B3" s="12">
        <v>1</v>
      </c>
      <c r="C3" s="12" t="s">
        <v>19</v>
      </c>
      <c r="D3" s="12">
        <v>2</v>
      </c>
      <c r="E3" s="12">
        <v>8</v>
      </c>
      <c r="F3" s="12">
        <v>0</v>
      </c>
      <c r="G3" s="12">
        <v>0</v>
      </c>
      <c r="H3" s="12">
        <v>0</v>
      </c>
      <c r="I3" s="12">
        <v>0</v>
      </c>
      <c r="J3" s="12">
        <v>2</v>
      </c>
      <c r="K3" s="12">
        <v>7</v>
      </c>
      <c r="L3" s="12">
        <v>3</v>
      </c>
      <c r="M3" s="12">
        <v>0</v>
      </c>
      <c r="N3" s="12">
        <v>16</v>
      </c>
      <c r="O3" s="12">
        <v>96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1">
        <f t="shared" ref="Y3:Y66" si="0">SUM(E3:X3)</f>
        <v>132</v>
      </c>
      <c r="AA3" s="12">
        <v>12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</row>
    <row r="4" spans="1:32" ht="15.5" customHeight="1" x14ac:dyDescent="0.3">
      <c r="A4" s="12" t="s">
        <v>18</v>
      </c>
      <c r="B4" s="12">
        <v>1</v>
      </c>
      <c r="C4" s="12" t="s">
        <v>19</v>
      </c>
      <c r="D4" s="12">
        <v>3</v>
      </c>
      <c r="E4" s="12">
        <v>10</v>
      </c>
      <c r="F4" s="12">
        <v>0</v>
      </c>
      <c r="G4" s="12">
        <v>0</v>
      </c>
      <c r="H4" s="12">
        <v>0</v>
      </c>
      <c r="I4" s="12">
        <v>0</v>
      </c>
      <c r="J4" s="12">
        <v>2</v>
      </c>
      <c r="K4" s="12">
        <v>0</v>
      </c>
      <c r="L4" s="12">
        <v>24</v>
      </c>
      <c r="M4" s="12">
        <v>0</v>
      </c>
      <c r="N4" s="12">
        <v>6</v>
      </c>
      <c r="O4" s="12">
        <v>94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3</v>
      </c>
      <c r="X4" s="12">
        <v>0</v>
      </c>
      <c r="Y4" s="11">
        <f t="shared" si="0"/>
        <v>139</v>
      </c>
      <c r="AA4" s="12">
        <v>45</v>
      </c>
      <c r="AB4" s="12">
        <v>0</v>
      </c>
      <c r="AC4" s="12">
        <v>1</v>
      </c>
      <c r="AD4" s="12">
        <v>0</v>
      </c>
      <c r="AE4" s="12">
        <v>0</v>
      </c>
      <c r="AF4" s="12">
        <v>0</v>
      </c>
    </row>
    <row r="5" spans="1:32" ht="15.5" customHeight="1" x14ac:dyDescent="0.3">
      <c r="A5" s="12" t="s">
        <v>18</v>
      </c>
      <c r="B5" s="12">
        <v>1</v>
      </c>
      <c r="C5" s="12" t="s">
        <v>19</v>
      </c>
      <c r="D5" s="12">
        <v>4</v>
      </c>
      <c r="E5" s="12">
        <v>11</v>
      </c>
      <c r="F5" s="12">
        <v>0</v>
      </c>
      <c r="G5" s="12">
        <v>0</v>
      </c>
      <c r="H5" s="12">
        <v>0</v>
      </c>
      <c r="I5" s="12">
        <v>0</v>
      </c>
      <c r="J5" s="12">
        <v>3</v>
      </c>
      <c r="K5" s="12">
        <v>0</v>
      </c>
      <c r="L5" s="12">
        <v>0</v>
      </c>
      <c r="M5" s="12">
        <v>0</v>
      </c>
      <c r="N5" s="12">
        <v>18</v>
      </c>
      <c r="O5" s="12">
        <v>95</v>
      </c>
      <c r="P5" s="12">
        <v>0</v>
      </c>
      <c r="Q5" s="12">
        <v>0</v>
      </c>
      <c r="R5" s="12">
        <v>0</v>
      </c>
      <c r="S5" s="12">
        <v>0</v>
      </c>
      <c r="T5" s="12">
        <v>4</v>
      </c>
      <c r="U5" s="12">
        <v>0</v>
      </c>
      <c r="V5" s="12">
        <v>0</v>
      </c>
      <c r="W5" s="12">
        <v>3</v>
      </c>
      <c r="X5" s="12">
        <v>0</v>
      </c>
      <c r="Y5" s="11">
        <f t="shared" si="0"/>
        <v>134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</row>
    <row r="6" spans="1:32" ht="15.5" customHeight="1" x14ac:dyDescent="0.3">
      <c r="A6" s="12" t="s">
        <v>20</v>
      </c>
      <c r="B6" s="12">
        <v>1</v>
      </c>
      <c r="C6" s="12" t="s">
        <v>19</v>
      </c>
      <c r="D6" s="12">
        <v>5</v>
      </c>
      <c r="E6" s="12">
        <v>3</v>
      </c>
      <c r="F6" s="12">
        <v>0</v>
      </c>
      <c r="G6" s="12">
        <v>0</v>
      </c>
      <c r="H6" s="12">
        <v>0</v>
      </c>
      <c r="I6" s="12">
        <v>1</v>
      </c>
      <c r="J6" s="12">
        <v>10</v>
      </c>
      <c r="K6" s="12">
        <v>0</v>
      </c>
      <c r="L6" s="12">
        <v>13.5</v>
      </c>
      <c r="M6" s="12">
        <v>0</v>
      </c>
      <c r="N6" s="12">
        <v>27</v>
      </c>
      <c r="O6" s="12">
        <v>100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7</v>
      </c>
      <c r="X6" s="12">
        <v>0</v>
      </c>
      <c r="Y6" s="11">
        <f t="shared" si="0"/>
        <v>161.5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</row>
    <row r="7" spans="1:32" ht="15.5" customHeight="1" x14ac:dyDescent="0.3">
      <c r="A7" s="12" t="s">
        <v>20</v>
      </c>
      <c r="B7" s="12">
        <v>1</v>
      </c>
      <c r="C7" s="12" t="s">
        <v>19</v>
      </c>
      <c r="D7" s="12">
        <v>6</v>
      </c>
      <c r="E7" s="12">
        <v>5</v>
      </c>
      <c r="F7" s="12">
        <v>0</v>
      </c>
      <c r="G7" s="12">
        <v>0</v>
      </c>
      <c r="H7" s="12">
        <v>0</v>
      </c>
      <c r="I7" s="12">
        <v>3</v>
      </c>
      <c r="J7" s="12">
        <v>6</v>
      </c>
      <c r="K7" s="12">
        <v>0</v>
      </c>
      <c r="L7" s="12">
        <v>12</v>
      </c>
      <c r="M7" s="12">
        <v>0</v>
      </c>
      <c r="N7" s="12">
        <v>20</v>
      </c>
      <c r="O7" s="12">
        <v>100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1">
        <f t="shared" si="0"/>
        <v>146</v>
      </c>
      <c r="AA7" s="12">
        <v>2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</row>
    <row r="8" spans="1:32" ht="15.5" customHeight="1" x14ac:dyDescent="0.3">
      <c r="A8" s="12" t="s">
        <v>20</v>
      </c>
      <c r="B8" s="12">
        <v>1</v>
      </c>
      <c r="C8" s="12" t="s">
        <v>19</v>
      </c>
      <c r="D8" s="12">
        <v>7</v>
      </c>
      <c r="E8" s="12">
        <v>2</v>
      </c>
      <c r="F8" s="12">
        <v>0</v>
      </c>
      <c r="G8" s="12">
        <v>0</v>
      </c>
      <c r="H8" s="12">
        <v>0</v>
      </c>
      <c r="I8" s="12">
        <v>0</v>
      </c>
      <c r="J8" s="12">
        <v>2</v>
      </c>
      <c r="K8" s="12">
        <v>0</v>
      </c>
      <c r="L8" s="12">
        <v>0</v>
      </c>
      <c r="M8" s="12">
        <v>0</v>
      </c>
      <c r="N8" s="12">
        <v>5</v>
      </c>
      <c r="O8" s="12">
        <v>100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1">
        <f t="shared" si="0"/>
        <v>109</v>
      </c>
      <c r="AA8" s="12">
        <v>35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</row>
    <row r="9" spans="1:32" ht="15.5" customHeight="1" x14ac:dyDescent="0.3">
      <c r="A9" s="12" t="s">
        <v>21</v>
      </c>
      <c r="B9" s="12">
        <v>1</v>
      </c>
      <c r="C9" s="12" t="s">
        <v>19</v>
      </c>
      <c r="D9" s="12">
        <v>8</v>
      </c>
      <c r="E9" s="12">
        <v>0</v>
      </c>
      <c r="F9" s="12">
        <v>6</v>
      </c>
      <c r="G9" s="12">
        <v>0</v>
      </c>
      <c r="H9" s="12">
        <v>0</v>
      </c>
      <c r="I9" s="12">
        <v>0</v>
      </c>
      <c r="J9" s="12">
        <v>3</v>
      </c>
      <c r="K9" s="12">
        <v>0</v>
      </c>
      <c r="L9" s="12">
        <v>2</v>
      </c>
      <c r="M9" s="12">
        <v>0</v>
      </c>
      <c r="N9" s="12">
        <v>18</v>
      </c>
      <c r="O9" s="12">
        <v>90</v>
      </c>
      <c r="P9" s="12">
        <v>0</v>
      </c>
      <c r="Q9" s="12">
        <v>0</v>
      </c>
      <c r="R9" s="12">
        <v>0</v>
      </c>
      <c r="S9" s="12">
        <v>0</v>
      </c>
      <c r="T9" s="12">
        <v>26</v>
      </c>
      <c r="U9" s="12">
        <v>0</v>
      </c>
      <c r="V9" s="12">
        <v>1</v>
      </c>
      <c r="W9" s="12">
        <v>1</v>
      </c>
      <c r="X9" s="12">
        <v>3</v>
      </c>
      <c r="Y9" s="11">
        <f t="shared" si="0"/>
        <v>150</v>
      </c>
      <c r="AA9" s="12">
        <v>12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</row>
    <row r="10" spans="1:32" ht="15.5" customHeight="1" x14ac:dyDescent="0.3">
      <c r="A10" s="12" t="s">
        <v>21</v>
      </c>
      <c r="B10" s="12">
        <v>1</v>
      </c>
      <c r="C10" s="12" t="s">
        <v>19</v>
      </c>
      <c r="D10" s="12">
        <v>9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10</v>
      </c>
      <c r="O10" s="12">
        <v>88</v>
      </c>
      <c r="P10" s="12">
        <v>0</v>
      </c>
      <c r="Q10" s="12">
        <v>0</v>
      </c>
      <c r="R10" s="12">
        <v>0</v>
      </c>
      <c r="S10" s="12">
        <v>0</v>
      </c>
      <c r="T10" s="12">
        <v>6</v>
      </c>
      <c r="U10" s="12">
        <v>0</v>
      </c>
      <c r="V10" s="12">
        <v>0</v>
      </c>
      <c r="W10" s="12">
        <v>0</v>
      </c>
      <c r="X10" s="12">
        <v>10</v>
      </c>
      <c r="Y10" s="11">
        <f t="shared" si="0"/>
        <v>114</v>
      </c>
      <c r="AA10" s="12">
        <v>20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</row>
    <row r="11" spans="1:32" ht="15.5" customHeight="1" x14ac:dyDescent="0.3">
      <c r="A11" s="12" t="s">
        <v>22</v>
      </c>
      <c r="B11" s="12">
        <v>1</v>
      </c>
      <c r="C11" s="12" t="s">
        <v>19</v>
      </c>
      <c r="D11" s="12">
        <v>10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2</v>
      </c>
      <c r="L11" s="12">
        <v>0</v>
      </c>
      <c r="M11" s="12">
        <v>0</v>
      </c>
      <c r="N11" s="12">
        <v>30</v>
      </c>
      <c r="O11" s="12">
        <v>90</v>
      </c>
      <c r="P11" s="12">
        <v>0</v>
      </c>
      <c r="Q11" s="12">
        <v>0</v>
      </c>
      <c r="R11" s="12">
        <v>0</v>
      </c>
      <c r="S11" s="12">
        <v>2</v>
      </c>
      <c r="T11" s="12">
        <v>0</v>
      </c>
      <c r="U11" s="12">
        <v>0</v>
      </c>
      <c r="V11" s="12">
        <v>0</v>
      </c>
      <c r="W11" s="12">
        <v>0</v>
      </c>
      <c r="X11" s="12">
        <v>8</v>
      </c>
      <c r="Y11" s="11">
        <f t="shared" si="0"/>
        <v>132</v>
      </c>
      <c r="AA11" s="12">
        <v>20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</row>
    <row r="12" spans="1:32" ht="15.5" customHeight="1" x14ac:dyDescent="0.3">
      <c r="A12" s="12" t="s">
        <v>23</v>
      </c>
      <c r="B12" s="12">
        <v>1</v>
      </c>
      <c r="C12" s="12" t="s">
        <v>19</v>
      </c>
      <c r="D12" s="12">
        <v>11</v>
      </c>
      <c r="E12" s="12">
        <v>0</v>
      </c>
      <c r="F12" s="12">
        <v>0</v>
      </c>
      <c r="G12" s="12">
        <v>0</v>
      </c>
      <c r="H12" s="12">
        <v>0</v>
      </c>
      <c r="I12" s="12">
        <v>5</v>
      </c>
      <c r="J12" s="12">
        <v>0</v>
      </c>
      <c r="K12" s="12">
        <v>0</v>
      </c>
      <c r="L12" s="12">
        <v>20</v>
      </c>
      <c r="M12" s="12">
        <v>0</v>
      </c>
      <c r="N12" s="12">
        <v>20</v>
      </c>
      <c r="O12" s="12">
        <v>40</v>
      </c>
      <c r="P12" s="12">
        <v>0</v>
      </c>
      <c r="Q12" s="12">
        <v>10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1">
        <f t="shared" si="0"/>
        <v>95</v>
      </c>
      <c r="AA12" s="12">
        <v>8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</row>
    <row r="13" spans="1:32" ht="15.5" customHeight="1" x14ac:dyDescent="0.3">
      <c r="A13" s="12" t="s">
        <v>24</v>
      </c>
      <c r="B13" s="12">
        <v>1</v>
      </c>
      <c r="C13" s="12" t="s">
        <v>19</v>
      </c>
      <c r="D13" s="12">
        <v>12</v>
      </c>
      <c r="E13" s="12">
        <v>3</v>
      </c>
      <c r="F13" s="12">
        <v>0</v>
      </c>
      <c r="G13" s="12">
        <v>0</v>
      </c>
      <c r="H13" s="12">
        <v>0</v>
      </c>
      <c r="I13" s="12">
        <v>2</v>
      </c>
      <c r="J13" s="12">
        <v>7</v>
      </c>
      <c r="K13" s="12">
        <v>0</v>
      </c>
      <c r="L13" s="12">
        <v>15.5</v>
      </c>
      <c r="M13" s="12">
        <v>0</v>
      </c>
      <c r="N13" s="12">
        <v>27</v>
      </c>
      <c r="O13" s="12">
        <v>100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7</v>
      </c>
      <c r="X13" s="12">
        <v>0</v>
      </c>
      <c r="Y13" s="11">
        <f t="shared" si="0"/>
        <v>161.5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5</v>
      </c>
    </row>
    <row r="14" spans="1:32" ht="15.5" customHeight="1" x14ac:dyDescent="0.3">
      <c r="A14" s="12" t="s">
        <v>25</v>
      </c>
      <c r="B14" s="12">
        <v>1</v>
      </c>
      <c r="C14" s="12" t="s">
        <v>19</v>
      </c>
      <c r="D14" s="12">
        <v>13</v>
      </c>
      <c r="E14" s="12">
        <v>0</v>
      </c>
      <c r="F14" s="12">
        <v>0</v>
      </c>
      <c r="G14" s="12">
        <v>0</v>
      </c>
      <c r="H14" s="12">
        <v>0</v>
      </c>
      <c r="I14" s="12">
        <v>2</v>
      </c>
      <c r="J14" s="12">
        <v>2</v>
      </c>
      <c r="K14" s="12">
        <v>0</v>
      </c>
      <c r="L14" s="12">
        <v>8</v>
      </c>
      <c r="M14" s="12">
        <v>0</v>
      </c>
      <c r="N14" s="12">
        <v>23</v>
      </c>
      <c r="O14" s="12">
        <v>90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10</v>
      </c>
      <c r="Y14" s="11">
        <f t="shared" si="0"/>
        <v>135</v>
      </c>
      <c r="AA14" s="12">
        <v>16</v>
      </c>
      <c r="AB14" s="12">
        <v>0</v>
      </c>
      <c r="AC14" s="12">
        <v>4</v>
      </c>
      <c r="AD14" s="12">
        <v>0</v>
      </c>
      <c r="AE14" s="12">
        <v>0</v>
      </c>
      <c r="AF14" s="12">
        <v>0</v>
      </c>
    </row>
    <row r="15" spans="1:32" ht="15.5" customHeight="1" x14ac:dyDescent="0.3">
      <c r="A15" s="12" t="s">
        <v>24</v>
      </c>
      <c r="B15" s="12">
        <v>1</v>
      </c>
      <c r="C15" s="12" t="s">
        <v>19</v>
      </c>
      <c r="D15" s="12">
        <v>14</v>
      </c>
      <c r="E15" s="12">
        <v>0</v>
      </c>
      <c r="F15" s="12">
        <v>0</v>
      </c>
      <c r="G15" s="12">
        <v>0</v>
      </c>
      <c r="H15" s="12">
        <v>4</v>
      </c>
      <c r="I15" s="12">
        <v>0</v>
      </c>
      <c r="J15" s="12">
        <v>8</v>
      </c>
      <c r="K15" s="12">
        <v>0</v>
      </c>
      <c r="L15" s="12">
        <v>34</v>
      </c>
      <c r="M15" s="12">
        <v>0</v>
      </c>
      <c r="N15" s="12">
        <v>15</v>
      </c>
      <c r="O15" s="12">
        <v>95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8</v>
      </c>
      <c r="X15" s="12">
        <v>5</v>
      </c>
      <c r="Y15" s="11">
        <f t="shared" si="0"/>
        <v>169</v>
      </c>
      <c r="AA15" s="16">
        <v>24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</row>
    <row r="16" spans="1:32" ht="15.5" customHeight="1" x14ac:dyDescent="0.3">
      <c r="A16" s="12" t="s">
        <v>26</v>
      </c>
      <c r="B16" s="12">
        <v>1</v>
      </c>
      <c r="C16" s="12" t="s">
        <v>19</v>
      </c>
      <c r="D16" s="12">
        <v>15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22</v>
      </c>
      <c r="N16" s="12">
        <v>3</v>
      </c>
      <c r="O16" s="12">
        <v>82</v>
      </c>
      <c r="P16" s="12">
        <v>0</v>
      </c>
      <c r="Q16" s="12">
        <v>0</v>
      </c>
      <c r="R16" s="12">
        <v>0</v>
      </c>
      <c r="S16" s="12">
        <v>0</v>
      </c>
      <c r="T16" s="12">
        <v>1</v>
      </c>
      <c r="U16" s="12">
        <v>0</v>
      </c>
      <c r="V16" s="12">
        <v>0</v>
      </c>
      <c r="W16" s="12">
        <v>0</v>
      </c>
      <c r="X16" s="12">
        <v>0</v>
      </c>
      <c r="Y16" s="11">
        <f t="shared" si="0"/>
        <v>109</v>
      </c>
      <c r="AA16" s="12">
        <v>0</v>
      </c>
      <c r="AB16" s="12">
        <v>0</v>
      </c>
      <c r="AC16" s="12">
        <v>4</v>
      </c>
      <c r="AD16" s="12">
        <v>0</v>
      </c>
      <c r="AE16" s="12">
        <v>0</v>
      </c>
      <c r="AF16" s="12">
        <v>0</v>
      </c>
    </row>
    <row r="17" spans="1:32" ht="15.5" customHeight="1" x14ac:dyDescent="0.3">
      <c r="A17" s="12" t="s">
        <v>26</v>
      </c>
      <c r="B17" s="12">
        <v>1</v>
      </c>
      <c r="C17" s="12" t="s">
        <v>19</v>
      </c>
      <c r="D17" s="12">
        <v>16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4</v>
      </c>
      <c r="K17" s="12">
        <v>0</v>
      </c>
      <c r="L17" s="12">
        <v>0.5</v>
      </c>
      <c r="M17" s="12">
        <v>13</v>
      </c>
      <c r="N17" s="12">
        <v>4</v>
      </c>
      <c r="O17" s="12">
        <v>80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4</v>
      </c>
      <c r="X17" s="12">
        <v>0</v>
      </c>
      <c r="Y17" s="11">
        <f t="shared" si="0"/>
        <v>105.5</v>
      </c>
      <c r="AA17" s="12">
        <v>24</v>
      </c>
      <c r="AB17" s="12">
        <v>0</v>
      </c>
      <c r="AC17" s="12">
        <v>1</v>
      </c>
      <c r="AD17" s="12">
        <v>0</v>
      </c>
      <c r="AE17" s="12">
        <v>0</v>
      </c>
      <c r="AF17" s="12">
        <v>0</v>
      </c>
    </row>
    <row r="18" spans="1:32" ht="15.5" customHeight="1" x14ac:dyDescent="0.3">
      <c r="A18" s="12" t="s">
        <v>26</v>
      </c>
      <c r="B18" s="12">
        <v>1</v>
      </c>
      <c r="C18" s="12" t="s">
        <v>19</v>
      </c>
      <c r="D18" s="12">
        <v>17</v>
      </c>
      <c r="E18" s="12">
        <v>3</v>
      </c>
      <c r="F18" s="12">
        <v>0</v>
      </c>
      <c r="G18" s="12">
        <v>0</v>
      </c>
      <c r="H18" s="12">
        <v>0</v>
      </c>
      <c r="I18" s="12">
        <v>4</v>
      </c>
      <c r="J18" s="12">
        <v>2</v>
      </c>
      <c r="K18" s="12">
        <v>0</v>
      </c>
      <c r="L18" s="12">
        <v>8</v>
      </c>
      <c r="M18" s="12">
        <v>0</v>
      </c>
      <c r="N18" s="12">
        <v>10</v>
      </c>
      <c r="O18" s="12">
        <v>100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2</v>
      </c>
      <c r="V18" s="12">
        <v>0</v>
      </c>
      <c r="W18" s="12">
        <v>2</v>
      </c>
      <c r="X18" s="12">
        <v>0</v>
      </c>
      <c r="Y18" s="11">
        <f t="shared" si="0"/>
        <v>131</v>
      </c>
      <c r="AA18" s="12">
        <v>44</v>
      </c>
      <c r="AB18" s="12">
        <v>12</v>
      </c>
      <c r="AC18" s="12">
        <v>0</v>
      </c>
      <c r="AD18" s="12">
        <v>0</v>
      </c>
      <c r="AE18" s="12">
        <v>0</v>
      </c>
      <c r="AF18" s="12">
        <v>0</v>
      </c>
    </row>
    <row r="19" spans="1:32" ht="15.5" customHeight="1" x14ac:dyDescent="0.3">
      <c r="A19" s="12" t="s">
        <v>27</v>
      </c>
      <c r="B19" s="12">
        <v>1</v>
      </c>
      <c r="C19" s="12" t="s">
        <v>19</v>
      </c>
      <c r="D19" s="12">
        <v>18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1</v>
      </c>
      <c r="K19" s="12">
        <v>0</v>
      </c>
      <c r="L19" s="12">
        <v>0</v>
      </c>
      <c r="M19" s="12">
        <v>20</v>
      </c>
      <c r="N19" s="12">
        <v>2</v>
      </c>
      <c r="O19" s="12">
        <v>85</v>
      </c>
      <c r="P19" s="12">
        <v>0</v>
      </c>
      <c r="Q19" s="12">
        <v>0</v>
      </c>
      <c r="R19" s="12">
        <v>0</v>
      </c>
      <c r="S19" s="12">
        <v>0</v>
      </c>
      <c r="T19" s="12">
        <v>1</v>
      </c>
      <c r="U19" s="12">
        <v>0</v>
      </c>
      <c r="V19" s="12">
        <v>0</v>
      </c>
      <c r="W19" s="12">
        <v>0</v>
      </c>
      <c r="X19" s="12">
        <v>0</v>
      </c>
      <c r="Y19" s="11">
        <f t="shared" si="0"/>
        <v>109</v>
      </c>
      <c r="AA19" s="12">
        <v>16</v>
      </c>
      <c r="AB19" s="12">
        <v>0</v>
      </c>
      <c r="AC19" s="12">
        <v>1</v>
      </c>
      <c r="AD19" s="12">
        <v>0</v>
      </c>
      <c r="AE19" s="12">
        <v>0</v>
      </c>
      <c r="AF19" s="12">
        <v>0</v>
      </c>
    </row>
    <row r="20" spans="1:32" ht="15.5" customHeight="1" x14ac:dyDescent="0.3">
      <c r="A20" s="12" t="s">
        <v>27</v>
      </c>
      <c r="B20" s="12">
        <v>1</v>
      </c>
      <c r="C20" s="12" t="s">
        <v>19</v>
      </c>
      <c r="D20" s="12">
        <v>19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4</v>
      </c>
      <c r="K20" s="12">
        <v>0</v>
      </c>
      <c r="L20" s="12">
        <v>0.5</v>
      </c>
      <c r="M20" s="12">
        <v>15</v>
      </c>
      <c r="N20" s="12">
        <v>3</v>
      </c>
      <c r="O20" s="12">
        <v>100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4</v>
      </c>
      <c r="X20" s="12">
        <v>0</v>
      </c>
      <c r="Y20" s="11">
        <f t="shared" si="0"/>
        <v>126.5</v>
      </c>
      <c r="AA20" s="12">
        <v>20</v>
      </c>
      <c r="AB20" s="12">
        <v>0</v>
      </c>
      <c r="AC20" s="12">
        <v>3</v>
      </c>
      <c r="AD20" s="12">
        <v>0</v>
      </c>
      <c r="AE20" s="12">
        <v>0</v>
      </c>
      <c r="AF20" s="12">
        <v>0</v>
      </c>
    </row>
    <row r="21" spans="1:32" ht="15.5" customHeight="1" x14ac:dyDescent="0.3">
      <c r="A21" s="12" t="s">
        <v>27</v>
      </c>
      <c r="B21" s="12">
        <v>1</v>
      </c>
      <c r="C21" s="12" t="s">
        <v>19</v>
      </c>
      <c r="D21" s="12">
        <v>20</v>
      </c>
      <c r="E21" s="12">
        <v>3</v>
      </c>
      <c r="F21" s="12">
        <v>0</v>
      </c>
      <c r="G21" s="12">
        <v>0</v>
      </c>
      <c r="H21" s="12">
        <v>0</v>
      </c>
      <c r="I21" s="12">
        <v>1</v>
      </c>
      <c r="J21" s="12">
        <v>2</v>
      </c>
      <c r="K21" s="12">
        <v>0</v>
      </c>
      <c r="L21" s="12">
        <v>6</v>
      </c>
      <c r="M21" s="12">
        <v>0</v>
      </c>
      <c r="N21" s="12">
        <v>7</v>
      </c>
      <c r="O21" s="12">
        <v>100</v>
      </c>
      <c r="P21" s="12">
        <v>0</v>
      </c>
      <c r="Q21" s="12">
        <v>0</v>
      </c>
      <c r="R21" s="12">
        <v>0</v>
      </c>
      <c r="S21" s="12">
        <v>0</v>
      </c>
      <c r="T21" s="12">
        <v>4</v>
      </c>
      <c r="U21" s="12">
        <v>2</v>
      </c>
      <c r="V21" s="12">
        <v>10</v>
      </c>
      <c r="W21" s="12">
        <v>1</v>
      </c>
      <c r="X21" s="12">
        <v>0</v>
      </c>
      <c r="Y21" s="11">
        <f t="shared" si="0"/>
        <v>136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</row>
    <row r="22" spans="1:32" ht="15.5" customHeight="1" x14ac:dyDescent="0.3">
      <c r="A22" s="12" t="s">
        <v>28</v>
      </c>
      <c r="B22" s="12">
        <v>1</v>
      </c>
      <c r="C22" s="12" t="s">
        <v>19</v>
      </c>
      <c r="D22" s="12">
        <v>21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2</v>
      </c>
      <c r="O22" s="12">
        <v>100</v>
      </c>
      <c r="P22" s="12">
        <v>0</v>
      </c>
      <c r="Q22" s="12">
        <v>2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3</v>
      </c>
      <c r="X22" s="12">
        <v>0</v>
      </c>
      <c r="Y22" s="11">
        <f t="shared" si="0"/>
        <v>107</v>
      </c>
      <c r="AA22" s="12">
        <v>16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</row>
    <row r="23" spans="1:32" ht="15.5" customHeight="1" x14ac:dyDescent="0.3">
      <c r="A23" s="12" t="s">
        <v>29</v>
      </c>
      <c r="B23" s="12">
        <v>1</v>
      </c>
      <c r="C23" s="12" t="s">
        <v>19</v>
      </c>
      <c r="D23" s="12">
        <v>22</v>
      </c>
      <c r="E23" s="12">
        <v>2</v>
      </c>
      <c r="F23" s="12">
        <v>0</v>
      </c>
      <c r="G23" s="12">
        <v>0</v>
      </c>
      <c r="H23" s="12">
        <v>0</v>
      </c>
      <c r="I23" s="12">
        <v>0</v>
      </c>
      <c r="J23" s="12">
        <v>1</v>
      </c>
      <c r="K23" s="12">
        <v>0</v>
      </c>
      <c r="L23" s="12">
        <v>0</v>
      </c>
      <c r="M23" s="12">
        <v>4</v>
      </c>
      <c r="N23" s="12">
        <v>5</v>
      </c>
      <c r="O23" s="12">
        <v>90</v>
      </c>
      <c r="P23" s="12">
        <v>0</v>
      </c>
      <c r="Q23" s="12">
        <v>0</v>
      </c>
      <c r="R23" s="12">
        <v>0</v>
      </c>
      <c r="S23" s="12">
        <v>0</v>
      </c>
      <c r="T23" s="12">
        <v>0.5</v>
      </c>
      <c r="U23" s="12">
        <v>0</v>
      </c>
      <c r="V23" s="12">
        <v>0</v>
      </c>
      <c r="W23" s="12">
        <v>0</v>
      </c>
      <c r="X23" s="12">
        <v>5</v>
      </c>
      <c r="Y23" s="11">
        <f t="shared" si="0"/>
        <v>107.5</v>
      </c>
      <c r="AA23" s="12">
        <v>28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</row>
    <row r="24" spans="1:32" ht="15.5" customHeight="1" x14ac:dyDescent="0.3">
      <c r="A24" s="12" t="s">
        <v>30</v>
      </c>
      <c r="B24" s="12">
        <v>1</v>
      </c>
      <c r="C24" s="12" t="s">
        <v>19</v>
      </c>
      <c r="D24" s="12">
        <v>23</v>
      </c>
      <c r="E24" s="12">
        <v>0.5</v>
      </c>
      <c r="F24" s="12">
        <v>0</v>
      </c>
      <c r="G24" s="12">
        <v>1</v>
      </c>
      <c r="H24" s="12">
        <v>0</v>
      </c>
      <c r="I24" s="12">
        <v>0</v>
      </c>
      <c r="J24" s="12">
        <v>3</v>
      </c>
      <c r="K24" s="12">
        <v>4</v>
      </c>
      <c r="L24" s="12">
        <v>0</v>
      </c>
      <c r="M24" s="12">
        <v>4</v>
      </c>
      <c r="N24" s="12">
        <v>8</v>
      </c>
      <c r="O24" s="12">
        <v>90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6</v>
      </c>
      <c r="Y24" s="11">
        <f t="shared" si="0"/>
        <v>116.5</v>
      </c>
      <c r="AA24" s="12">
        <v>24</v>
      </c>
      <c r="AB24" s="12">
        <v>0</v>
      </c>
      <c r="AC24" s="12">
        <v>1</v>
      </c>
      <c r="AD24" s="12">
        <v>0</v>
      </c>
      <c r="AE24" s="12">
        <v>0</v>
      </c>
      <c r="AF24" s="12">
        <v>0</v>
      </c>
    </row>
    <row r="25" spans="1:32" ht="15.5" customHeight="1" x14ac:dyDescent="0.3">
      <c r="A25" s="12" t="s">
        <v>30</v>
      </c>
      <c r="B25" s="12">
        <v>1</v>
      </c>
      <c r="C25" s="12" t="s">
        <v>19</v>
      </c>
      <c r="D25" s="12">
        <v>24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4</v>
      </c>
      <c r="O25" s="12">
        <v>100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2</v>
      </c>
      <c r="Y25" s="11">
        <f t="shared" si="0"/>
        <v>106</v>
      </c>
      <c r="AA25" s="12">
        <v>16</v>
      </c>
      <c r="AB25" s="12">
        <v>0</v>
      </c>
      <c r="AC25" s="12">
        <v>0</v>
      </c>
      <c r="AD25" s="12">
        <v>0</v>
      </c>
      <c r="AE25" s="12">
        <v>0</v>
      </c>
      <c r="AF25" s="12">
        <v>5</v>
      </c>
    </row>
    <row r="26" spans="1:32" ht="15.5" customHeight="1" x14ac:dyDescent="0.3">
      <c r="A26" s="12" t="s">
        <v>31</v>
      </c>
      <c r="B26" s="12">
        <v>1</v>
      </c>
      <c r="C26" s="12" t="s">
        <v>19</v>
      </c>
      <c r="D26" s="12">
        <v>25</v>
      </c>
      <c r="E26" s="12">
        <v>10</v>
      </c>
      <c r="F26" s="12">
        <v>8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15</v>
      </c>
      <c r="O26" s="12">
        <v>95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1">
        <f t="shared" si="0"/>
        <v>128</v>
      </c>
      <c r="AA26" s="12">
        <v>2</v>
      </c>
      <c r="AB26" s="12">
        <v>0</v>
      </c>
      <c r="AC26" s="12">
        <v>0</v>
      </c>
      <c r="AD26" s="12">
        <v>0</v>
      </c>
      <c r="AE26" s="12">
        <v>0</v>
      </c>
      <c r="AF26" s="12">
        <v>3</v>
      </c>
    </row>
    <row r="27" spans="1:32" ht="15.5" customHeight="1" x14ac:dyDescent="0.3">
      <c r="A27" s="12" t="s">
        <v>31</v>
      </c>
      <c r="B27" s="12">
        <v>1</v>
      </c>
      <c r="C27" s="12" t="s">
        <v>19</v>
      </c>
      <c r="D27" s="12">
        <v>26</v>
      </c>
      <c r="E27" s="12">
        <v>4</v>
      </c>
      <c r="F27" s="12">
        <v>8</v>
      </c>
      <c r="G27" s="12">
        <v>0</v>
      </c>
      <c r="H27" s="12">
        <v>0</v>
      </c>
      <c r="I27" s="12">
        <v>6</v>
      </c>
      <c r="J27" s="12">
        <v>0</v>
      </c>
      <c r="K27" s="12">
        <v>0</v>
      </c>
      <c r="L27" s="12">
        <v>7</v>
      </c>
      <c r="M27" s="12">
        <v>2</v>
      </c>
      <c r="N27" s="12">
        <v>4</v>
      </c>
      <c r="O27" s="12">
        <v>90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1">
        <f t="shared" si="0"/>
        <v>121</v>
      </c>
      <c r="AA27" s="12">
        <v>0</v>
      </c>
      <c r="AB27" s="12">
        <v>0</v>
      </c>
      <c r="AC27" s="12">
        <v>1</v>
      </c>
      <c r="AD27" s="12">
        <v>0</v>
      </c>
      <c r="AE27" s="12">
        <v>0</v>
      </c>
      <c r="AF27" s="12">
        <v>5</v>
      </c>
    </row>
    <row r="28" spans="1:32" ht="15.5" customHeight="1" x14ac:dyDescent="0.3">
      <c r="A28" s="12" t="s">
        <v>32</v>
      </c>
      <c r="B28" s="12">
        <v>1</v>
      </c>
      <c r="C28" s="12" t="s">
        <v>19</v>
      </c>
      <c r="D28" s="12">
        <v>27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4</v>
      </c>
      <c r="K28" s="12">
        <v>1</v>
      </c>
      <c r="L28" s="12">
        <v>6</v>
      </c>
      <c r="M28" s="12">
        <v>15</v>
      </c>
      <c r="N28" s="12">
        <v>20</v>
      </c>
      <c r="O28" s="12">
        <v>95</v>
      </c>
      <c r="P28" s="12">
        <v>0</v>
      </c>
      <c r="Q28" s="12">
        <v>0</v>
      </c>
      <c r="R28" s="12">
        <v>2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1">
        <f t="shared" si="0"/>
        <v>143</v>
      </c>
      <c r="AA28" s="12">
        <v>12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</row>
    <row r="29" spans="1:32" ht="15.5" customHeight="1" x14ac:dyDescent="0.3">
      <c r="A29" s="12" t="s">
        <v>32</v>
      </c>
      <c r="B29" s="12">
        <v>1</v>
      </c>
      <c r="C29" s="12" t="s">
        <v>19</v>
      </c>
      <c r="D29" s="12">
        <v>28</v>
      </c>
      <c r="E29" s="12">
        <v>2</v>
      </c>
      <c r="F29" s="12">
        <v>3</v>
      </c>
      <c r="G29" s="12">
        <v>0</v>
      </c>
      <c r="H29" s="12">
        <v>0</v>
      </c>
      <c r="I29" s="12">
        <v>0</v>
      </c>
      <c r="J29" s="12">
        <v>20</v>
      </c>
      <c r="K29" s="12">
        <v>0</v>
      </c>
      <c r="L29" s="12">
        <v>0</v>
      </c>
      <c r="M29" s="12">
        <v>20</v>
      </c>
      <c r="N29" s="12">
        <v>0</v>
      </c>
      <c r="O29" s="12">
        <v>70</v>
      </c>
      <c r="P29" s="12">
        <v>32</v>
      </c>
      <c r="Q29" s="12">
        <v>0</v>
      </c>
      <c r="R29" s="12">
        <v>0</v>
      </c>
      <c r="S29" s="12">
        <v>0</v>
      </c>
      <c r="T29" s="12">
        <v>0</v>
      </c>
      <c r="U29" s="12">
        <v>3</v>
      </c>
      <c r="V29" s="12">
        <v>0</v>
      </c>
      <c r="W29" s="12">
        <v>0</v>
      </c>
      <c r="X29" s="12">
        <v>0</v>
      </c>
      <c r="Y29" s="11">
        <f t="shared" si="0"/>
        <v>150</v>
      </c>
      <c r="AA29" s="12">
        <v>4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</row>
    <row r="30" spans="1:32" ht="15.5" customHeight="1" x14ac:dyDescent="0.3">
      <c r="A30" s="12" t="s">
        <v>33</v>
      </c>
      <c r="B30" s="12">
        <v>1</v>
      </c>
      <c r="C30" s="12" t="s">
        <v>19</v>
      </c>
      <c r="D30" s="12">
        <v>29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4</v>
      </c>
      <c r="K30" s="12">
        <v>0</v>
      </c>
      <c r="L30" s="12">
        <v>4</v>
      </c>
      <c r="M30" s="12">
        <v>0</v>
      </c>
      <c r="N30" s="12">
        <v>10</v>
      </c>
      <c r="O30" s="12">
        <v>80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4</v>
      </c>
      <c r="V30" s="12">
        <v>10</v>
      </c>
      <c r="W30" s="12">
        <v>1</v>
      </c>
      <c r="X30" s="12">
        <v>10</v>
      </c>
      <c r="Y30" s="11">
        <f t="shared" si="0"/>
        <v>123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</row>
    <row r="31" spans="1:32" ht="15.5" customHeight="1" x14ac:dyDescent="0.3">
      <c r="A31" s="12" t="s">
        <v>33</v>
      </c>
      <c r="B31" s="12">
        <v>1</v>
      </c>
      <c r="C31" s="12" t="s">
        <v>19</v>
      </c>
      <c r="D31" s="12">
        <v>30</v>
      </c>
      <c r="E31" s="12">
        <v>3</v>
      </c>
      <c r="F31" s="12">
        <v>0</v>
      </c>
      <c r="G31" s="12">
        <v>0</v>
      </c>
      <c r="H31" s="12">
        <v>10</v>
      </c>
      <c r="I31" s="12">
        <v>20</v>
      </c>
      <c r="J31" s="12">
        <v>0.5</v>
      </c>
      <c r="K31" s="12">
        <v>0</v>
      </c>
      <c r="L31" s="12">
        <v>1</v>
      </c>
      <c r="M31" s="12">
        <v>0</v>
      </c>
      <c r="N31" s="12">
        <v>30</v>
      </c>
      <c r="O31" s="12">
        <v>20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3</v>
      </c>
      <c r="X31" s="12">
        <v>70</v>
      </c>
      <c r="Y31" s="11">
        <f t="shared" si="0"/>
        <v>157.5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</row>
    <row r="32" spans="1:32" ht="15.5" customHeight="1" x14ac:dyDescent="0.3">
      <c r="A32" s="12" t="s">
        <v>34</v>
      </c>
      <c r="B32" s="12">
        <v>3</v>
      </c>
      <c r="C32" s="12" t="s">
        <v>35</v>
      </c>
      <c r="D32" s="12">
        <v>1</v>
      </c>
      <c r="E32" s="12">
        <v>10</v>
      </c>
      <c r="F32" s="12">
        <v>0</v>
      </c>
      <c r="G32" s="12">
        <v>0</v>
      </c>
      <c r="H32" s="12">
        <v>5</v>
      </c>
      <c r="I32" s="12">
        <v>10</v>
      </c>
      <c r="J32" s="12">
        <v>11</v>
      </c>
      <c r="K32" s="12">
        <v>0</v>
      </c>
      <c r="L32" s="12">
        <v>0</v>
      </c>
      <c r="M32" s="12">
        <v>45</v>
      </c>
      <c r="N32" s="12">
        <v>30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5</v>
      </c>
      <c r="Y32" s="11">
        <f t="shared" si="0"/>
        <v>116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</row>
    <row r="33" spans="1:32" ht="15.5" customHeight="1" x14ac:dyDescent="0.3">
      <c r="A33" s="12" t="s">
        <v>34</v>
      </c>
      <c r="B33" s="12">
        <v>3</v>
      </c>
      <c r="C33" s="12" t="s">
        <v>35</v>
      </c>
      <c r="D33" s="12">
        <v>2</v>
      </c>
      <c r="E33" s="12">
        <v>2</v>
      </c>
      <c r="F33" s="12">
        <v>0</v>
      </c>
      <c r="G33" s="12">
        <v>0</v>
      </c>
      <c r="H33" s="12">
        <v>0</v>
      </c>
      <c r="I33" s="12">
        <v>0</v>
      </c>
      <c r="J33" s="12">
        <v>31</v>
      </c>
      <c r="K33" s="12">
        <v>0</v>
      </c>
      <c r="L33" s="12">
        <v>0</v>
      </c>
      <c r="M33" s="12">
        <v>40</v>
      </c>
      <c r="N33" s="12">
        <v>10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40</v>
      </c>
      <c r="Y33" s="11">
        <f t="shared" si="0"/>
        <v>123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5</v>
      </c>
    </row>
    <row r="34" spans="1:32" ht="15.5" customHeight="1" x14ac:dyDescent="0.3">
      <c r="A34" s="12" t="s">
        <v>34</v>
      </c>
      <c r="B34" s="12">
        <v>3</v>
      </c>
      <c r="C34" s="12" t="s">
        <v>35</v>
      </c>
      <c r="D34" s="12">
        <v>3</v>
      </c>
      <c r="E34" s="12">
        <v>5</v>
      </c>
      <c r="F34" s="12">
        <v>0</v>
      </c>
      <c r="G34" s="12">
        <v>0</v>
      </c>
      <c r="H34" s="12">
        <v>20</v>
      </c>
      <c r="I34" s="12">
        <v>3</v>
      </c>
      <c r="J34" s="12">
        <v>5</v>
      </c>
      <c r="K34" s="12">
        <v>0</v>
      </c>
      <c r="L34" s="12">
        <v>0</v>
      </c>
      <c r="M34" s="12">
        <v>30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40</v>
      </c>
      <c r="Y34" s="11">
        <f t="shared" si="0"/>
        <v>103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</row>
    <row r="35" spans="1:32" ht="15.5" customHeight="1" x14ac:dyDescent="0.3">
      <c r="A35" s="12" t="s">
        <v>36</v>
      </c>
      <c r="B35" s="12">
        <v>3</v>
      </c>
      <c r="C35" s="12" t="s">
        <v>35</v>
      </c>
      <c r="D35" s="12">
        <v>4</v>
      </c>
      <c r="E35" s="12">
        <v>10</v>
      </c>
      <c r="F35" s="12">
        <v>0</v>
      </c>
      <c r="G35" s="12">
        <v>0</v>
      </c>
      <c r="H35" s="12">
        <v>0</v>
      </c>
      <c r="I35" s="12">
        <v>0</v>
      </c>
      <c r="J35" s="12">
        <v>3</v>
      </c>
      <c r="K35" s="12">
        <v>0</v>
      </c>
      <c r="L35" s="12">
        <v>0</v>
      </c>
      <c r="M35" s="12">
        <v>40</v>
      </c>
      <c r="N35" s="12">
        <v>8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40</v>
      </c>
      <c r="Y35" s="11">
        <f t="shared" si="0"/>
        <v>101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</row>
    <row r="36" spans="1:32" ht="15.5" customHeight="1" x14ac:dyDescent="0.3">
      <c r="A36" s="12" t="s">
        <v>36</v>
      </c>
      <c r="B36" s="12">
        <v>3</v>
      </c>
      <c r="C36" s="12" t="s">
        <v>35</v>
      </c>
      <c r="D36" s="12">
        <v>5</v>
      </c>
      <c r="E36" s="12">
        <v>15</v>
      </c>
      <c r="F36" s="12">
        <v>0</v>
      </c>
      <c r="G36" s="12">
        <v>0</v>
      </c>
      <c r="H36" s="12">
        <v>6</v>
      </c>
      <c r="I36" s="12">
        <v>0</v>
      </c>
      <c r="J36" s="12">
        <v>10</v>
      </c>
      <c r="K36" s="12">
        <v>0</v>
      </c>
      <c r="L36" s="12">
        <v>10</v>
      </c>
      <c r="M36" s="12">
        <v>50</v>
      </c>
      <c r="N36" s="12">
        <v>50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30</v>
      </c>
      <c r="Y36" s="11">
        <f t="shared" si="0"/>
        <v>171</v>
      </c>
      <c r="AA36" s="12">
        <v>0</v>
      </c>
      <c r="AB36" s="12">
        <v>4</v>
      </c>
      <c r="AC36" s="12">
        <v>0</v>
      </c>
      <c r="AD36" s="12">
        <v>0</v>
      </c>
      <c r="AE36" s="12">
        <v>0</v>
      </c>
      <c r="AF36" s="12">
        <v>5</v>
      </c>
    </row>
    <row r="37" spans="1:32" ht="15.5" customHeight="1" x14ac:dyDescent="0.3">
      <c r="A37" s="12" t="s">
        <v>36</v>
      </c>
      <c r="B37" s="12">
        <v>3</v>
      </c>
      <c r="C37" s="12" t="s">
        <v>35</v>
      </c>
      <c r="D37" s="12">
        <v>6</v>
      </c>
      <c r="E37" s="12">
        <v>0</v>
      </c>
      <c r="F37" s="12">
        <v>0</v>
      </c>
      <c r="G37" s="12">
        <v>0</v>
      </c>
      <c r="H37" s="12">
        <v>0</v>
      </c>
      <c r="I37" s="12">
        <v>20</v>
      </c>
      <c r="J37" s="12">
        <v>10</v>
      </c>
      <c r="K37" s="12">
        <v>0</v>
      </c>
      <c r="L37" s="12">
        <v>10</v>
      </c>
      <c r="M37" s="12">
        <v>40</v>
      </c>
      <c r="N37" s="12">
        <v>15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50</v>
      </c>
      <c r="Y37" s="11">
        <f t="shared" si="0"/>
        <v>145</v>
      </c>
      <c r="AA37" s="12">
        <v>40</v>
      </c>
      <c r="AB37" s="12">
        <v>0</v>
      </c>
      <c r="AC37" s="12">
        <v>0</v>
      </c>
      <c r="AD37" s="12">
        <v>0</v>
      </c>
      <c r="AE37" s="12">
        <v>0</v>
      </c>
      <c r="AF37" s="12">
        <v>5</v>
      </c>
    </row>
    <row r="38" spans="1:32" ht="15.5" customHeight="1" x14ac:dyDescent="0.3">
      <c r="A38" s="12" t="s">
        <v>37</v>
      </c>
      <c r="B38" s="12">
        <v>3</v>
      </c>
      <c r="C38" s="12" t="s">
        <v>35</v>
      </c>
      <c r="D38" s="12">
        <v>7</v>
      </c>
      <c r="E38" s="12">
        <v>4</v>
      </c>
      <c r="F38" s="12">
        <v>0</v>
      </c>
      <c r="G38" s="12">
        <v>0</v>
      </c>
      <c r="H38" s="12">
        <v>4</v>
      </c>
      <c r="I38" s="12">
        <v>0</v>
      </c>
      <c r="J38" s="12">
        <v>0</v>
      </c>
      <c r="K38" s="12">
        <v>0</v>
      </c>
      <c r="L38" s="12">
        <v>5</v>
      </c>
      <c r="M38" s="12">
        <v>60</v>
      </c>
      <c r="N38" s="12">
        <v>5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30</v>
      </c>
      <c r="Y38" s="11">
        <f t="shared" si="0"/>
        <v>108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5</v>
      </c>
    </row>
    <row r="39" spans="1:32" ht="15.5" customHeight="1" x14ac:dyDescent="0.3">
      <c r="A39" s="12" t="s">
        <v>37</v>
      </c>
      <c r="B39" s="12">
        <v>3</v>
      </c>
      <c r="C39" s="12" t="s">
        <v>35</v>
      </c>
      <c r="D39" s="12">
        <v>8</v>
      </c>
      <c r="E39" s="12">
        <v>0</v>
      </c>
      <c r="F39" s="12">
        <v>0</v>
      </c>
      <c r="G39" s="12">
        <v>0</v>
      </c>
      <c r="H39" s="12">
        <v>0</v>
      </c>
      <c r="I39" s="12">
        <v>20</v>
      </c>
      <c r="J39" s="12">
        <v>7</v>
      </c>
      <c r="K39" s="12">
        <v>0</v>
      </c>
      <c r="L39" s="12">
        <v>10</v>
      </c>
      <c r="M39" s="12">
        <v>70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30</v>
      </c>
      <c r="Y39" s="11">
        <f t="shared" si="0"/>
        <v>137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</row>
    <row r="40" spans="1:32" ht="15.5" customHeight="1" x14ac:dyDescent="0.3">
      <c r="A40" s="12" t="s">
        <v>37</v>
      </c>
      <c r="B40" s="12">
        <v>3</v>
      </c>
      <c r="C40" s="12" t="s">
        <v>35</v>
      </c>
      <c r="D40" s="12">
        <v>9</v>
      </c>
      <c r="E40" s="12">
        <v>0</v>
      </c>
      <c r="F40" s="12">
        <v>0</v>
      </c>
      <c r="G40" s="12">
        <v>0</v>
      </c>
      <c r="H40" s="12">
        <v>0</v>
      </c>
      <c r="I40" s="12">
        <v>25</v>
      </c>
      <c r="J40" s="12">
        <v>20</v>
      </c>
      <c r="K40" s="12">
        <v>0</v>
      </c>
      <c r="L40" s="12">
        <v>25</v>
      </c>
      <c r="M40" s="12">
        <v>17</v>
      </c>
      <c r="N40" s="12">
        <v>16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20</v>
      </c>
      <c r="Y40" s="11">
        <f t="shared" si="0"/>
        <v>123</v>
      </c>
      <c r="AA40" s="12">
        <v>4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</row>
    <row r="41" spans="1:32" ht="15.5" customHeight="1" x14ac:dyDescent="0.3">
      <c r="A41" s="12" t="s">
        <v>38</v>
      </c>
      <c r="B41" s="12">
        <v>3</v>
      </c>
      <c r="C41" s="11" t="s">
        <v>35</v>
      </c>
      <c r="D41" s="12">
        <v>10</v>
      </c>
      <c r="E41" s="12">
        <v>0</v>
      </c>
      <c r="F41" s="12">
        <v>0</v>
      </c>
      <c r="G41" s="12">
        <v>0</v>
      </c>
      <c r="H41" s="12">
        <v>0</v>
      </c>
      <c r="I41" s="12">
        <v>4</v>
      </c>
      <c r="J41" s="12">
        <v>7</v>
      </c>
      <c r="K41" s="12">
        <v>0</v>
      </c>
      <c r="L41" s="12">
        <v>45</v>
      </c>
      <c r="M41" s="12">
        <v>28</v>
      </c>
      <c r="N41" s="12">
        <v>5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20</v>
      </c>
      <c r="Y41" s="11">
        <f t="shared" si="0"/>
        <v>109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</row>
    <row r="42" spans="1:32" ht="15.5" customHeight="1" x14ac:dyDescent="0.3">
      <c r="A42" s="12" t="s">
        <v>38</v>
      </c>
      <c r="B42" s="12">
        <v>3</v>
      </c>
      <c r="C42" s="12" t="s">
        <v>35</v>
      </c>
      <c r="D42" s="12">
        <v>11</v>
      </c>
      <c r="E42" s="12">
        <v>0</v>
      </c>
      <c r="F42" s="12">
        <v>4</v>
      </c>
      <c r="G42" s="12">
        <v>0</v>
      </c>
      <c r="H42" s="12">
        <v>0</v>
      </c>
      <c r="I42" s="12">
        <v>17</v>
      </c>
      <c r="J42" s="12">
        <v>0</v>
      </c>
      <c r="K42" s="12">
        <v>0</v>
      </c>
      <c r="L42" s="12">
        <v>20</v>
      </c>
      <c r="M42" s="12">
        <v>45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2</v>
      </c>
      <c r="X42" s="12">
        <v>20</v>
      </c>
      <c r="Y42" s="11">
        <f t="shared" si="0"/>
        <v>108</v>
      </c>
      <c r="AA42" s="12">
        <v>0.8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</row>
    <row r="43" spans="1:32" ht="15.5" customHeight="1" x14ac:dyDescent="0.3">
      <c r="A43" s="12" t="s">
        <v>38</v>
      </c>
      <c r="B43" s="12">
        <v>3</v>
      </c>
      <c r="C43" s="12" t="s">
        <v>35</v>
      </c>
      <c r="D43" s="12">
        <v>12</v>
      </c>
      <c r="E43" s="12">
        <v>0</v>
      </c>
      <c r="F43" s="12">
        <v>1</v>
      </c>
      <c r="G43" s="12">
        <v>0</v>
      </c>
      <c r="H43" s="12">
        <v>0</v>
      </c>
      <c r="I43" s="12">
        <v>10</v>
      </c>
      <c r="J43" s="12">
        <v>0</v>
      </c>
      <c r="K43" s="12">
        <v>0</v>
      </c>
      <c r="L43" s="12">
        <v>25</v>
      </c>
      <c r="M43" s="12">
        <v>60</v>
      </c>
      <c r="N43" s="12">
        <v>2.5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20</v>
      </c>
      <c r="Y43" s="11">
        <f t="shared" si="0"/>
        <v>118.5</v>
      </c>
      <c r="AA43" s="12">
        <v>0</v>
      </c>
      <c r="AB43" s="12">
        <v>4</v>
      </c>
      <c r="AC43" s="12">
        <v>0</v>
      </c>
      <c r="AD43" s="12">
        <v>0</v>
      </c>
      <c r="AE43" s="12">
        <v>0</v>
      </c>
      <c r="AF43" s="12">
        <v>0</v>
      </c>
    </row>
    <row r="44" spans="1:32" ht="15.5" customHeight="1" x14ac:dyDescent="0.3">
      <c r="A44" s="12" t="s">
        <v>39</v>
      </c>
      <c r="B44" s="12">
        <v>3</v>
      </c>
      <c r="C44" s="12" t="s">
        <v>35</v>
      </c>
      <c r="D44" s="12">
        <v>13</v>
      </c>
      <c r="E44" s="12">
        <v>0</v>
      </c>
      <c r="F44" s="12">
        <v>0</v>
      </c>
      <c r="G44" s="12">
        <v>0</v>
      </c>
      <c r="H44" s="12">
        <v>0</v>
      </c>
      <c r="I44" s="12">
        <v>3</v>
      </c>
      <c r="J44" s="12">
        <v>2</v>
      </c>
      <c r="K44" s="12">
        <v>0</v>
      </c>
      <c r="L44" s="12">
        <v>3</v>
      </c>
      <c r="M44" s="12">
        <v>65</v>
      </c>
      <c r="N44" s="12">
        <v>1.5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20</v>
      </c>
      <c r="Y44" s="11">
        <f t="shared" si="0"/>
        <v>94.5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</row>
    <row r="45" spans="1:32" ht="15.5" customHeight="1" x14ac:dyDescent="0.3">
      <c r="A45" s="12" t="s">
        <v>40</v>
      </c>
      <c r="B45" s="12">
        <v>3</v>
      </c>
      <c r="C45" s="12" t="s">
        <v>35</v>
      </c>
      <c r="D45" s="12">
        <v>14</v>
      </c>
      <c r="E45" s="12">
        <v>4</v>
      </c>
      <c r="F45" s="12">
        <v>0</v>
      </c>
      <c r="G45" s="12">
        <v>0</v>
      </c>
      <c r="H45" s="12">
        <v>0</v>
      </c>
      <c r="I45" s="12">
        <v>0</v>
      </c>
      <c r="J45" s="12">
        <v>1.5</v>
      </c>
      <c r="K45" s="12">
        <v>0</v>
      </c>
      <c r="L45" s="12">
        <v>0</v>
      </c>
      <c r="M45" s="12">
        <v>62</v>
      </c>
      <c r="N45" s="12">
        <v>21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20</v>
      </c>
      <c r="Y45" s="11">
        <f t="shared" si="0"/>
        <v>108.5</v>
      </c>
      <c r="AA45" s="12">
        <v>28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</row>
    <row r="46" spans="1:32" ht="15.5" customHeight="1" x14ac:dyDescent="0.3">
      <c r="A46" s="12" t="s">
        <v>41</v>
      </c>
      <c r="B46" s="12">
        <v>3</v>
      </c>
      <c r="C46" s="12" t="s">
        <v>35</v>
      </c>
      <c r="D46" s="12">
        <v>15</v>
      </c>
      <c r="E46" s="12">
        <v>0</v>
      </c>
      <c r="F46" s="12">
        <v>0</v>
      </c>
      <c r="G46" s="12">
        <v>0</v>
      </c>
      <c r="H46" s="12">
        <v>0</v>
      </c>
      <c r="I46" s="12">
        <v>51</v>
      </c>
      <c r="J46" s="12">
        <v>7</v>
      </c>
      <c r="K46" s="12">
        <v>0</v>
      </c>
      <c r="L46" s="12">
        <v>50</v>
      </c>
      <c r="M46" s="12">
        <v>60</v>
      </c>
      <c r="N46" s="12">
        <v>17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2</v>
      </c>
      <c r="Y46" s="11">
        <f t="shared" si="0"/>
        <v>187</v>
      </c>
      <c r="AA46" s="12">
        <v>20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</row>
    <row r="47" spans="1:32" ht="15.5" customHeight="1" x14ac:dyDescent="0.3">
      <c r="A47" s="12" t="s">
        <v>40</v>
      </c>
      <c r="B47" s="12">
        <v>3</v>
      </c>
      <c r="C47" s="12" t="s">
        <v>35</v>
      </c>
      <c r="D47" s="12">
        <v>16</v>
      </c>
      <c r="E47" s="12">
        <v>3</v>
      </c>
      <c r="F47" s="12">
        <v>1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11</v>
      </c>
      <c r="M47" s="12">
        <v>40</v>
      </c>
      <c r="N47" s="12">
        <v>10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1</v>
      </c>
      <c r="X47" s="12">
        <v>43</v>
      </c>
      <c r="Y47" s="11">
        <f t="shared" si="0"/>
        <v>109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</row>
    <row r="48" spans="1:32" ht="15.5" customHeight="1" x14ac:dyDescent="0.3">
      <c r="A48" s="12" t="s">
        <v>42</v>
      </c>
      <c r="B48" s="12">
        <v>3</v>
      </c>
      <c r="C48" s="12" t="s">
        <v>35</v>
      </c>
      <c r="D48" s="12">
        <v>17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2.5</v>
      </c>
      <c r="K48" s="12">
        <v>0</v>
      </c>
      <c r="L48" s="12">
        <v>34</v>
      </c>
      <c r="M48" s="12">
        <v>12</v>
      </c>
      <c r="N48" s="12">
        <v>3</v>
      </c>
      <c r="O48" s="12">
        <v>4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60</v>
      </c>
      <c r="Y48" s="11">
        <f t="shared" si="0"/>
        <v>115.5</v>
      </c>
      <c r="AA48" s="12">
        <v>12</v>
      </c>
      <c r="AB48" s="12">
        <v>0</v>
      </c>
      <c r="AC48" s="12">
        <v>3</v>
      </c>
      <c r="AD48" s="12">
        <v>0</v>
      </c>
      <c r="AE48" s="12">
        <v>0</v>
      </c>
      <c r="AF48" s="12">
        <v>0</v>
      </c>
    </row>
    <row r="49" spans="1:32" ht="15.5" customHeight="1" x14ac:dyDescent="0.3">
      <c r="A49" s="12" t="s">
        <v>42</v>
      </c>
      <c r="B49" s="12">
        <v>3</v>
      </c>
      <c r="C49" s="12" t="s">
        <v>35</v>
      </c>
      <c r="D49" s="12">
        <v>18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30</v>
      </c>
      <c r="M49" s="12">
        <v>50</v>
      </c>
      <c r="N49" s="12">
        <v>2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48</v>
      </c>
      <c r="Y49" s="11">
        <f t="shared" si="0"/>
        <v>130</v>
      </c>
      <c r="AA49" s="12">
        <v>4</v>
      </c>
      <c r="AB49" s="12">
        <v>0</v>
      </c>
      <c r="AC49" s="12">
        <v>1</v>
      </c>
      <c r="AD49" s="12">
        <v>0</v>
      </c>
      <c r="AE49" s="12">
        <v>0</v>
      </c>
      <c r="AF49" s="12">
        <v>0</v>
      </c>
    </row>
    <row r="50" spans="1:32" ht="15.5" customHeight="1" x14ac:dyDescent="0.3">
      <c r="A50" s="12" t="s">
        <v>43</v>
      </c>
      <c r="B50" s="12">
        <v>3</v>
      </c>
      <c r="C50" s="12" t="s">
        <v>35</v>
      </c>
      <c r="D50" s="12">
        <v>19</v>
      </c>
      <c r="E50" s="12">
        <v>1</v>
      </c>
      <c r="F50" s="12">
        <v>0</v>
      </c>
      <c r="G50" s="12">
        <v>0</v>
      </c>
      <c r="H50" s="12">
        <v>0</v>
      </c>
      <c r="I50" s="12">
        <v>0</v>
      </c>
      <c r="J50" s="12">
        <v>1</v>
      </c>
      <c r="K50" s="12">
        <v>0</v>
      </c>
      <c r="L50" s="12">
        <v>0</v>
      </c>
      <c r="M50" s="12">
        <v>55</v>
      </c>
      <c r="N50" s="12">
        <v>5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38</v>
      </c>
      <c r="Y50" s="11">
        <f t="shared" si="0"/>
        <v>100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ht="15.5" customHeight="1" x14ac:dyDescent="0.3">
      <c r="A51" s="12" t="s">
        <v>43</v>
      </c>
      <c r="B51" s="12">
        <v>3</v>
      </c>
      <c r="C51" s="12" t="s">
        <v>35</v>
      </c>
      <c r="D51" s="12">
        <v>20</v>
      </c>
      <c r="E51" s="12">
        <v>0</v>
      </c>
      <c r="F51" s="12">
        <v>0</v>
      </c>
      <c r="G51" s="12">
        <v>0</v>
      </c>
      <c r="H51" s="12">
        <v>25</v>
      </c>
      <c r="I51" s="12">
        <v>0</v>
      </c>
      <c r="J51" s="12">
        <v>0</v>
      </c>
      <c r="K51" s="12">
        <v>0</v>
      </c>
      <c r="L51" s="12">
        <v>11</v>
      </c>
      <c r="M51" s="12">
        <v>7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55</v>
      </c>
      <c r="Y51" s="11">
        <f t="shared" si="0"/>
        <v>98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10</v>
      </c>
    </row>
    <row r="52" spans="1:32" ht="15.5" customHeight="1" x14ac:dyDescent="0.3">
      <c r="A52" s="12" t="s">
        <v>43</v>
      </c>
      <c r="B52" s="12">
        <v>3</v>
      </c>
      <c r="C52" s="12" t="s">
        <v>35</v>
      </c>
      <c r="D52" s="12">
        <v>21</v>
      </c>
      <c r="E52" s="12">
        <v>2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70</v>
      </c>
      <c r="N52" s="12">
        <v>0</v>
      </c>
      <c r="O52" s="12">
        <v>5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23</v>
      </c>
      <c r="Y52" s="11">
        <f t="shared" si="0"/>
        <v>100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</row>
    <row r="53" spans="1:32" ht="15.5" customHeight="1" x14ac:dyDescent="0.3">
      <c r="A53" s="12" t="s">
        <v>44</v>
      </c>
      <c r="B53" s="12">
        <v>3</v>
      </c>
      <c r="C53" s="12" t="s">
        <v>35</v>
      </c>
      <c r="D53" s="12">
        <v>22</v>
      </c>
      <c r="E53" s="12">
        <v>8</v>
      </c>
      <c r="F53" s="12">
        <v>0</v>
      </c>
      <c r="G53" s="12">
        <v>0</v>
      </c>
      <c r="H53" s="12">
        <v>12</v>
      </c>
      <c r="I53" s="12">
        <v>0</v>
      </c>
      <c r="J53" s="12">
        <v>1</v>
      </c>
      <c r="K53" s="12">
        <v>0</v>
      </c>
      <c r="L53" s="12">
        <v>0</v>
      </c>
      <c r="M53" s="12">
        <v>15</v>
      </c>
      <c r="N53" s="12">
        <v>8</v>
      </c>
      <c r="O53" s="12">
        <v>5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51</v>
      </c>
      <c r="Y53" s="11">
        <f t="shared" si="0"/>
        <v>100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  <row r="54" spans="1:32" ht="15.5" customHeight="1" x14ac:dyDescent="0.3">
      <c r="A54" s="12" t="s">
        <v>44</v>
      </c>
      <c r="B54" s="12">
        <v>3</v>
      </c>
      <c r="C54" s="12" t="s">
        <v>35</v>
      </c>
      <c r="D54" s="12">
        <v>23</v>
      </c>
      <c r="E54" s="12">
        <v>10</v>
      </c>
      <c r="F54" s="12">
        <v>0</v>
      </c>
      <c r="G54" s="12">
        <v>0</v>
      </c>
      <c r="H54" s="12">
        <v>10</v>
      </c>
      <c r="I54" s="12">
        <v>15</v>
      </c>
      <c r="J54" s="12">
        <v>0</v>
      </c>
      <c r="K54" s="12">
        <v>0</v>
      </c>
      <c r="L54" s="12">
        <v>15</v>
      </c>
      <c r="M54" s="12">
        <v>19</v>
      </c>
      <c r="N54" s="12">
        <v>0</v>
      </c>
      <c r="O54" s="12">
        <v>3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28</v>
      </c>
      <c r="Y54" s="11">
        <f t="shared" si="0"/>
        <v>100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</row>
    <row r="55" spans="1:32" ht="15.5" customHeight="1" x14ac:dyDescent="0.3">
      <c r="A55" s="12" t="s">
        <v>44</v>
      </c>
      <c r="B55" s="12">
        <v>3</v>
      </c>
      <c r="C55" s="12" t="s">
        <v>35</v>
      </c>
      <c r="D55" s="12">
        <v>24</v>
      </c>
      <c r="E55" s="12">
        <v>0</v>
      </c>
      <c r="F55" s="12">
        <v>0</v>
      </c>
      <c r="G55" s="12">
        <v>0</v>
      </c>
      <c r="H55" s="12">
        <v>6</v>
      </c>
      <c r="I55" s="12">
        <v>2</v>
      </c>
      <c r="J55" s="12">
        <v>3</v>
      </c>
      <c r="K55" s="12">
        <v>0</v>
      </c>
      <c r="L55" s="12">
        <v>2</v>
      </c>
      <c r="M55" s="12">
        <v>40</v>
      </c>
      <c r="N55" s="12">
        <v>3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44</v>
      </c>
      <c r="Y55" s="11">
        <f t="shared" si="0"/>
        <v>100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</row>
    <row r="56" spans="1:32" ht="15.5" customHeight="1" x14ac:dyDescent="0.3">
      <c r="A56" s="12" t="s">
        <v>45</v>
      </c>
      <c r="B56" s="12">
        <v>3</v>
      </c>
      <c r="C56" s="12" t="s">
        <v>35</v>
      </c>
      <c r="D56" s="12">
        <v>25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60</v>
      </c>
      <c r="N56" s="12">
        <v>5</v>
      </c>
      <c r="O56" s="12">
        <v>15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20</v>
      </c>
      <c r="Y56" s="11">
        <f t="shared" si="0"/>
        <v>100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</row>
    <row r="57" spans="1:32" ht="15.5" customHeight="1" x14ac:dyDescent="0.3">
      <c r="A57" s="12" t="s">
        <v>45</v>
      </c>
      <c r="B57" s="12">
        <v>3</v>
      </c>
      <c r="C57" s="12" t="s">
        <v>35</v>
      </c>
      <c r="D57" s="12">
        <v>26</v>
      </c>
      <c r="E57" s="12">
        <v>0</v>
      </c>
      <c r="F57" s="12">
        <v>0</v>
      </c>
      <c r="G57" s="12">
        <v>0</v>
      </c>
      <c r="H57" s="12">
        <v>0</v>
      </c>
      <c r="I57" s="12">
        <v>15</v>
      </c>
      <c r="J57" s="12">
        <v>0</v>
      </c>
      <c r="K57" s="12">
        <v>0</v>
      </c>
      <c r="L57" s="12">
        <v>15</v>
      </c>
      <c r="M57" s="12">
        <v>50</v>
      </c>
      <c r="N57" s="12">
        <v>0</v>
      </c>
      <c r="O57" s="12">
        <v>10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10</v>
      </c>
      <c r="Y57" s="11">
        <f t="shared" si="0"/>
        <v>100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</row>
    <row r="58" spans="1:32" ht="15.5" customHeight="1" x14ac:dyDescent="0.3">
      <c r="A58" s="12" t="s">
        <v>45</v>
      </c>
      <c r="B58" s="12">
        <v>3</v>
      </c>
      <c r="C58" s="12" t="s">
        <v>35</v>
      </c>
      <c r="D58" s="12">
        <v>27</v>
      </c>
      <c r="E58" s="12">
        <v>0</v>
      </c>
      <c r="F58" s="12">
        <v>5</v>
      </c>
      <c r="G58" s="12">
        <v>0</v>
      </c>
      <c r="H58" s="12">
        <v>5</v>
      </c>
      <c r="I58" s="12">
        <v>10</v>
      </c>
      <c r="J58" s="12">
        <v>0</v>
      </c>
      <c r="K58" s="12">
        <v>0</v>
      </c>
      <c r="L58" s="12">
        <v>10</v>
      </c>
      <c r="M58" s="12">
        <v>50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20</v>
      </c>
      <c r="Y58" s="11">
        <f t="shared" si="0"/>
        <v>100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</row>
    <row r="59" spans="1:32" ht="15.5" customHeight="1" x14ac:dyDescent="0.3">
      <c r="A59" s="12" t="s">
        <v>46</v>
      </c>
      <c r="B59" s="12">
        <v>3</v>
      </c>
      <c r="C59" s="12" t="s">
        <v>35</v>
      </c>
      <c r="D59" s="12">
        <v>28</v>
      </c>
      <c r="E59" s="12">
        <v>1</v>
      </c>
      <c r="F59" s="12">
        <v>0</v>
      </c>
      <c r="G59" s="12">
        <v>0</v>
      </c>
      <c r="H59" s="12">
        <v>0</v>
      </c>
      <c r="I59" s="12">
        <v>10</v>
      </c>
      <c r="J59" s="12">
        <v>1</v>
      </c>
      <c r="K59" s="12">
        <v>0</v>
      </c>
      <c r="L59" s="12">
        <v>15</v>
      </c>
      <c r="M59" s="12">
        <v>70</v>
      </c>
      <c r="N59" s="12">
        <v>5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1">
        <f t="shared" si="0"/>
        <v>102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</row>
    <row r="60" spans="1:32" ht="15.5" customHeight="1" x14ac:dyDescent="0.3">
      <c r="A60" s="12" t="s">
        <v>46</v>
      </c>
      <c r="B60" s="12">
        <v>3</v>
      </c>
      <c r="C60" s="12" t="s">
        <v>35</v>
      </c>
      <c r="D60" s="12">
        <v>29</v>
      </c>
      <c r="E60" s="12">
        <v>0</v>
      </c>
      <c r="F60" s="12">
        <v>10</v>
      </c>
      <c r="G60" s="12">
        <v>0</v>
      </c>
      <c r="H60" s="12">
        <v>0</v>
      </c>
      <c r="I60" s="12">
        <v>20</v>
      </c>
      <c r="J60" s="12">
        <v>5</v>
      </c>
      <c r="K60" s="12">
        <v>0</v>
      </c>
      <c r="L60" s="12">
        <v>15</v>
      </c>
      <c r="M60" s="12">
        <v>25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2</v>
      </c>
      <c r="X60" s="12">
        <v>23</v>
      </c>
      <c r="Y60" s="11">
        <f t="shared" si="0"/>
        <v>100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</row>
    <row r="61" spans="1:32" ht="15.5" customHeight="1" x14ac:dyDescent="0.3">
      <c r="A61" s="12" t="s">
        <v>46</v>
      </c>
      <c r="B61" s="12">
        <v>3</v>
      </c>
      <c r="C61" s="12" t="s">
        <v>35</v>
      </c>
      <c r="D61" s="12">
        <v>30</v>
      </c>
      <c r="E61" s="12">
        <v>0</v>
      </c>
      <c r="F61" s="12">
        <v>3</v>
      </c>
      <c r="G61" s="12">
        <v>0</v>
      </c>
      <c r="H61" s="12">
        <v>0</v>
      </c>
      <c r="I61" s="12">
        <v>10</v>
      </c>
      <c r="J61" s="12">
        <v>0</v>
      </c>
      <c r="K61" s="12">
        <v>0</v>
      </c>
      <c r="L61" s="12">
        <v>10</v>
      </c>
      <c r="M61" s="12">
        <v>50</v>
      </c>
      <c r="N61" s="12">
        <v>15</v>
      </c>
      <c r="O61" s="12">
        <v>12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1">
        <f t="shared" si="0"/>
        <v>100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</row>
    <row r="62" spans="1:32" ht="15.5" customHeight="1" x14ac:dyDescent="0.3">
      <c r="A62" s="12" t="s">
        <v>47</v>
      </c>
      <c r="B62" s="12">
        <v>2</v>
      </c>
      <c r="C62" s="12" t="s">
        <v>48</v>
      </c>
      <c r="D62" s="12">
        <v>1</v>
      </c>
      <c r="E62" s="12">
        <v>0</v>
      </c>
      <c r="F62" s="12">
        <v>7</v>
      </c>
      <c r="G62" s="12">
        <v>0</v>
      </c>
      <c r="H62" s="12">
        <v>1</v>
      </c>
      <c r="I62" s="12">
        <v>0</v>
      </c>
      <c r="J62" s="12">
        <v>1</v>
      </c>
      <c r="K62" s="12">
        <v>0</v>
      </c>
      <c r="L62" s="12">
        <v>85</v>
      </c>
      <c r="M62" s="12">
        <v>0</v>
      </c>
      <c r="N62" s="12">
        <v>8</v>
      </c>
      <c r="O62" s="12">
        <v>100</v>
      </c>
      <c r="P62" s="12">
        <v>5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1">
        <f t="shared" si="0"/>
        <v>207</v>
      </c>
      <c r="AA62" s="8">
        <v>2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</row>
    <row r="63" spans="1:32" ht="15.5" customHeight="1" x14ac:dyDescent="0.3">
      <c r="A63" s="12" t="s">
        <v>47</v>
      </c>
      <c r="B63" s="12">
        <v>2</v>
      </c>
      <c r="C63" s="12" t="s">
        <v>48</v>
      </c>
      <c r="D63" s="12">
        <v>2</v>
      </c>
      <c r="E63" s="12">
        <v>0</v>
      </c>
      <c r="F63" s="12">
        <v>0</v>
      </c>
      <c r="G63" s="12">
        <v>0</v>
      </c>
      <c r="H63" s="12">
        <v>29</v>
      </c>
      <c r="I63" s="12">
        <v>0</v>
      </c>
      <c r="J63" s="12">
        <v>0</v>
      </c>
      <c r="K63" s="12">
        <v>0</v>
      </c>
      <c r="L63" s="12">
        <v>18</v>
      </c>
      <c r="M63" s="12">
        <v>0</v>
      </c>
      <c r="N63" s="12">
        <v>23</v>
      </c>
      <c r="O63" s="12">
        <v>100</v>
      </c>
      <c r="P63" s="12">
        <v>9</v>
      </c>
      <c r="Q63" s="12">
        <v>0</v>
      </c>
      <c r="R63" s="12">
        <v>3</v>
      </c>
      <c r="S63" s="12">
        <v>0</v>
      </c>
      <c r="T63" s="12">
        <v>0</v>
      </c>
      <c r="U63" s="12">
        <v>0</v>
      </c>
      <c r="V63" s="12">
        <v>0</v>
      </c>
      <c r="W63" s="12">
        <v>5</v>
      </c>
      <c r="X63" s="12">
        <v>0</v>
      </c>
      <c r="Y63" s="11">
        <f t="shared" si="0"/>
        <v>187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</row>
    <row r="64" spans="1:32" ht="15.5" customHeight="1" x14ac:dyDescent="0.3">
      <c r="A64" s="12" t="s">
        <v>49</v>
      </c>
      <c r="B64" s="12">
        <v>2</v>
      </c>
      <c r="C64" s="12" t="s">
        <v>48</v>
      </c>
      <c r="D64" s="12">
        <v>3</v>
      </c>
      <c r="E64" s="12">
        <v>0</v>
      </c>
      <c r="F64" s="12">
        <v>1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8</v>
      </c>
      <c r="Q64" s="12">
        <v>0</v>
      </c>
      <c r="R64" s="12">
        <v>0</v>
      </c>
      <c r="S64" s="12">
        <v>0</v>
      </c>
      <c r="T64" s="12">
        <v>12</v>
      </c>
      <c r="U64" s="12">
        <v>0</v>
      </c>
      <c r="V64" s="12">
        <v>0</v>
      </c>
      <c r="W64" s="12">
        <v>20</v>
      </c>
      <c r="X64" s="12">
        <v>60</v>
      </c>
      <c r="Y64" s="11">
        <f t="shared" si="0"/>
        <v>101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</row>
    <row r="65" spans="1:32" ht="15.5" customHeight="1" x14ac:dyDescent="0.3">
      <c r="A65" s="12" t="s">
        <v>49</v>
      </c>
      <c r="B65" s="12">
        <v>2</v>
      </c>
      <c r="C65" s="12" t="s">
        <v>48</v>
      </c>
      <c r="D65" s="12">
        <v>4</v>
      </c>
      <c r="E65" s="12">
        <v>0</v>
      </c>
      <c r="F65" s="12">
        <v>5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20</v>
      </c>
      <c r="M65" s="12">
        <v>0</v>
      </c>
      <c r="N65" s="12">
        <v>0</v>
      </c>
      <c r="O65" s="12">
        <v>0</v>
      </c>
      <c r="P65" s="12">
        <v>6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70</v>
      </c>
      <c r="Y65" s="11">
        <f t="shared" si="0"/>
        <v>101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</row>
    <row r="66" spans="1:32" ht="15.5" customHeight="1" x14ac:dyDescent="0.3">
      <c r="A66" s="12" t="s">
        <v>49</v>
      </c>
      <c r="B66" s="12">
        <v>2</v>
      </c>
      <c r="C66" s="12" t="s">
        <v>48</v>
      </c>
      <c r="D66" s="12">
        <v>5</v>
      </c>
      <c r="E66" s="12">
        <v>0</v>
      </c>
      <c r="F66" s="12">
        <v>3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4</v>
      </c>
      <c r="M66" s="12">
        <v>0</v>
      </c>
      <c r="N66" s="12">
        <v>1</v>
      </c>
      <c r="O66" s="12">
        <v>0</v>
      </c>
      <c r="P66" s="12">
        <v>8</v>
      </c>
      <c r="Q66" s="12">
        <v>0</v>
      </c>
      <c r="R66" s="12">
        <v>4</v>
      </c>
      <c r="S66" s="12">
        <v>0</v>
      </c>
      <c r="T66" s="12">
        <v>0</v>
      </c>
      <c r="U66" s="12">
        <v>0</v>
      </c>
      <c r="V66" s="12">
        <v>0</v>
      </c>
      <c r="W66" s="12">
        <v>3</v>
      </c>
      <c r="X66" s="12">
        <v>75</v>
      </c>
      <c r="Y66" s="11">
        <f t="shared" si="0"/>
        <v>98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</row>
    <row r="67" spans="1:32" ht="15.5" customHeight="1" x14ac:dyDescent="0.3">
      <c r="A67" s="12" t="s">
        <v>50</v>
      </c>
      <c r="B67" s="12">
        <v>2</v>
      </c>
      <c r="C67" s="12" t="s">
        <v>48</v>
      </c>
      <c r="D67" s="12">
        <v>6</v>
      </c>
      <c r="E67" s="12">
        <v>1</v>
      </c>
      <c r="F67" s="12">
        <v>3</v>
      </c>
      <c r="G67" s="12">
        <v>0</v>
      </c>
      <c r="H67" s="12">
        <v>0</v>
      </c>
      <c r="I67" s="12">
        <v>30</v>
      </c>
      <c r="J67" s="12">
        <v>0</v>
      </c>
      <c r="K67" s="12">
        <v>0</v>
      </c>
      <c r="L67" s="12">
        <v>30</v>
      </c>
      <c r="M67" s="12">
        <v>0</v>
      </c>
      <c r="N67" s="12">
        <v>2</v>
      </c>
      <c r="O67" s="12">
        <v>10</v>
      </c>
      <c r="P67" s="12">
        <v>8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30</v>
      </c>
      <c r="Y67" s="11">
        <f t="shared" ref="Y67:Y91" si="1">SUM(E67:X67)</f>
        <v>114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</row>
    <row r="68" spans="1:32" ht="15.5" customHeight="1" x14ac:dyDescent="0.3">
      <c r="A68" s="12" t="s">
        <v>50</v>
      </c>
      <c r="B68" s="12">
        <v>2</v>
      </c>
      <c r="C68" s="12" t="s">
        <v>48</v>
      </c>
      <c r="D68" s="12">
        <v>7</v>
      </c>
      <c r="E68" s="12">
        <v>0</v>
      </c>
      <c r="F68" s="12">
        <v>6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15</v>
      </c>
      <c r="M68" s="12">
        <v>0</v>
      </c>
      <c r="N68" s="12">
        <v>2</v>
      </c>
      <c r="O68" s="12">
        <v>10</v>
      </c>
      <c r="P68" s="12">
        <v>5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60</v>
      </c>
      <c r="Y68" s="11">
        <f t="shared" si="1"/>
        <v>98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</row>
    <row r="69" spans="1:32" ht="15.5" customHeight="1" x14ac:dyDescent="0.3">
      <c r="A69" s="12" t="s">
        <v>51</v>
      </c>
      <c r="B69" s="12">
        <v>2</v>
      </c>
      <c r="C69" s="12" t="s">
        <v>48</v>
      </c>
      <c r="D69" s="12">
        <v>8</v>
      </c>
      <c r="E69" s="12">
        <v>0</v>
      </c>
      <c r="F69" s="12">
        <v>20</v>
      </c>
      <c r="G69" s="12">
        <v>0</v>
      </c>
      <c r="H69" s="12">
        <v>4</v>
      </c>
      <c r="I69" s="12">
        <v>30</v>
      </c>
      <c r="J69" s="12">
        <v>0</v>
      </c>
      <c r="K69" s="12">
        <v>0</v>
      </c>
      <c r="L69" s="12">
        <v>15</v>
      </c>
      <c r="M69" s="12">
        <v>0</v>
      </c>
      <c r="N69" s="12">
        <v>3</v>
      </c>
      <c r="O69" s="12">
        <v>5</v>
      </c>
      <c r="P69" s="12">
        <v>10</v>
      </c>
      <c r="Q69" s="12">
        <v>0</v>
      </c>
      <c r="R69" s="12">
        <v>6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10</v>
      </c>
      <c r="Y69" s="11">
        <f t="shared" si="1"/>
        <v>103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</row>
    <row r="70" spans="1:32" ht="15.5" customHeight="1" x14ac:dyDescent="0.3">
      <c r="A70" s="12" t="s">
        <v>51</v>
      </c>
      <c r="B70" s="12">
        <v>2</v>
      </c>
      <c r="C70" s="12" t="s">
        <v>48</v>
      </c>
      <c r="D70" s="12">
        <v>9</v>
      </c>
      <c r="E70" s="12">
        <v>0</v>
      </c>
      <c r="F70" s="12">
        <v>15</v>
      </c>
      <c r="G70" s="12">
        <v>0</v>
      </c>
      <c r="H70" s="12">
        <v>15</v>
      </c>
      <c r="I70" s="12">
        <v>10</v>
      </c>
      <c r="J70" s="12">
        <v>0</v>
      </c>
      <c r="K70" s="12">
        <v>0</v>
      </c>
      <c r="L70" s="12">
        <v>25</v>
      </c>
      <c r="M70" s="12">
        <v>10</v>
      </c>
      <c r="N70" s="12">
        <v>0</v>
      </c>
      <c r="O70" s="12">
        <v>5</v>
      </c>
      <c r="P70" s="12">
        <v>0</v>
      </c>
      <c r="Q70" s="12">
        <v>3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15</v>
      </c>
      <c r="X70" s="12">
        <v>2</v>
      </c>
      <c r="Y70" s="11">
        <f t="shared" si="1"/>
        <v>100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</row>
    <row r="71" spans="1:32" ht="15.5" customHeight="1" x14ac:dyDescent="0.3">
      <c r="A71" s="12" t="s">
        <v>52</v>
      </c>
      <c r="B71" s="12">
        <v>2</v>
      </c>
      <c r="C71" s="12" t="s">
        <v>48</v>
      </c>
      <c r="D71" s="12">
        <v>10</v>
      </c>
      <c r="E71" s="12">
        <v>0.5</v>
      </c>
      <c r="F71" s="12">
        <v>0</v>
      </c>
      <c r="G71" s="12">
        <v>0</v>
      </c>
      <c r="H71" s="12">
        <v>20</v>
      </c>
      <c r="I71" s="12">
        <v>0</v>
      </c>
      <c r="J71" s="12">
        <v>0</v>
      </c>
      <c r="K71" s="12">
        <v>0</v>
      </c>
      <c r="L71" s="12">
        <v>48</v>
      </c>
      <c r="M71" s="12">
        <v>0</v>
      </c>
      <c r="N71" s="12">
        <v>2</v>
      </c>
      <c r="O71" s="12">
        <v>30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1">
        <f t="shared" si="1"/>
        <v>100.5</v>
      </c>
      <c r="AA71" s="12">
        <v>0</v>
      </c>
      <c r="AB71" s="12">
        <v>2</v>
      </c>
      <c r="AC71" s="12">
        <v>0</v>
      </c>
      <c r="AD71" s="12">
        <v>0</v>
      </c>
      <c r="AE71" s="12">
        <v>0</v>
      </c>
      <c r="AF71" s="12">
        <v>10</v>
      </c>
    </row>
    <row r="72" spans="1:32" ht="15.5" customHeight="1" x14ac:dyDescent="0.3">
      <c r="A72" s="12" t="s">
        <v>52</v>
      </c>
      <c r="B72" s="12">
        <v>2</v>
      </c>
      <c r="C72" s="12" t="s">
        <v>48</v>
      </c>
      <c r="D72" s="12">
        <v>11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16</v>
      </c>
      <c r="P72" s="12">
        <v>0</v>
      </c>
      <c r="Q72" s="12">
        <v>0</v>
      </c>
      <c r="R72" s="12">
        <v>0</v>
      </c>
      <c r="S72" s="12">
        <v>0</v>
      </c>
      <c r="T72" s="12">
        <v>22</v>
      </c>
      <c r="U72" s="12">
        <v>0</v>
      </c>
      <c r="V72" s="12">
        <v>0</v>
      </c>
      <c r="W72" s="12">
        <v>60</v>
      </c>
      <c r="X72" s="12">
        <v>0</v>
      </c>
      <c r="Y72" s="11">
        <f t="shared" si="1"/>
        <v>98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10</v>
      </c>
    </row>
    <row r="73" spans="1:32" ht="15.5" customHeight="1" x14ac:dyDescent="0.3">
      <c r="A73" s="12" t="s">
        <v>53</v>
      </c>
      <c r="B73" s="12">
        <v>2</v>
      </c>
      <c r="C73" s="12" t="s">
        <v>48</v>
      </c>
      <c r="D73" s="12">
        <v>12</v>
      </c>
      <c r="E73" s="12">
        <v>2</v>
      </c>
      <c r="F73" s="12">
        <v>0</v>
      </c>
      <c r="G73" s="12">
        <v>0</v>
      </c>
      <c r="H73" s="12">
        <v>0</v>
      </c>
      <c r="I73" s="12">
        <v>20</v>
      </c>
      <c r="J73" s="12">
        <v>4</v>
      </c>
      <c r="K73" s="12">
        <v>0</v>
      </c>
      <c r="L73" s="12">
        <v>15</v>
      </c>
      <c r="M73" s="12">
        <v>0</v>
      </c>
      <c r="N73" s="12">
        <v>10</v>
      </c>
      <c r="O73" s="12">
        <v>15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8</v>
      </c>
      <c r="X73" s="12">
        <v>64</v>
      </c>
      <c r="Y73" s="11">
        <f t="shared" si="1"/>
        <v>138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</row>
    <row r="74" spans="1:32" ht="15.5" customHeight="1" x14ac:dyDescent="0.3">
      <c r="A74" s="12" t="s">
        <v>54</v>
      </c>
      <c r="B74" s="12">
        <v>2</v>
      </c>
      <c r="C74" s="12" t="s">
        <v>48</v>
      </c>
      <c r="D74" s="12">
        <v>13</v>
      </c>
      <c r="E74" s="12">
        <v>0</v>
      </c>
      <c r="F74" s="12">
        <v>0</v>
      </c>
      <c r="G74" s="12">
        <v>0</v>
      </c>
      <c r="H74" s="12">
        <v>0</v>
      </c>
      <c r="I74" s="12">
        <v>2</v>
      </c>
      <c r="J74" s="12">
        <v>7</v>
      </c>
      <c r="K74" s="12">
        <v>0</v>
      </c>
      <c r="L74" s="12">
        <v>0.5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2</v>
      </c>
      <c r="X74" s="12">
        <v>80</v>
      </c>
      <c r="Y74" s="11">
        <f t="shared" si="1"/>
        <v>91.5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</row>
    <row r="75" spans="1:32" ht="15.5" customHeight="1" x14ac:dyDescent="0.3">
      <c r="A75" s="12" t="s">
        <v>55</v>
      </c>
      <c r="B75" s="12">
        <v>2</v>
      </c>
      <c r="C75" s="12" t="s">
        <v>48</v>
      </c>
      <c r="D75" s="12">
        <v>14</v>
      </c>
      <c r="E75" s="12">
        <v>0</v>
      </c>
      <c r="F75" s="12">
        <v>2</v>
      </c>
      <c r="G75" s="12">
        <v>0</v>
      </c>
      <c r="H75" s="12">
        <v>12</v>
      </c>
      <c r="I75" s="12">
        <v>0</v>
      </c>
      <c r="J75" s="12">
        <v>25</v>
      </c>
      <c r="K75" s="12">
        <v>0</v>
      </c>
      <c r="L75" s="12">
        <v>0</v>
      </c>
      <c r="M75" s="12">
        <v>0</v>
      </c>
      <c r="N75" s="12">
        <v>3</v>
      </c>
      <c r="O75" s="12">
        <v>70</v>
      </c>
      <c r="P75" s="12">
        <v>6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5</v>
      </c>
      <c r="X75" s="12">
        <v>30</v>
      </c>
      <c r="Y75" s="11">
        <f t="shared" si="1"/>
        <v>153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</row>
    <row r="76" spans="1:32" ht="15.5" customHeight="1" x14ac:dyDescent="0.3">
      <c r="A76" s="12" t="s">
        <v>55</v>
      </c>
      <c r="B76" s="12">
        <v>2</v>
      </c>
      <c r="C76" s="12" t="s">
        <v>48</v>
      </c>
      <c r="D76" s="12">
        <v>15</v>
      </c>
      <c r="E76" s="12">
        <v>3</v>
      </c>
      <c r="F76" s="12">
        <v>2</v>
      </c>
      <c r="G76" s="12">
        <v>0</v>
      </c>
      <c r="H76" s="12">
        <v>21</v>
      </c>
      <c r="I76" s="12">
        <v>0</v>
      </c>
      <c r="J76" s="12">
        <v>6</v>
      </c>
      <c r="K76" s="12">
        <v>0</v>
      </c>
      <c r="L76" s="12">
        <v>31</v>
      </c>
      <c r="M76" s="12">
        <v>0</v>
      </c>
      <c r="N76" s="12">
        <v>12</v>
      </c>
      <c r="O76" s="12">
        <v>100</v>
      </c>
      <c r="P76" s="12">
        <v>3</v>
      </c>
      <c r="Q76" s="12">
        <v>0</v>
      </c>
      <c r="R76" s="12">
        <v>4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1">
        <f t="shared" si="1"/>
        <v>182</v>
      </c>
      <c r="AA76" s="12">
        <v>0</v>
      </c>
      <c r="AB76" s="12">
        <v>0</v>
      </c>
      <c r="AC76" s="12">
        <v>1</v>
      </c>
      <c r="AD76" s="12">
        <v>0</v>
      </c>
      <c r="AE76" s="12">
        <v>0</v>
      </c>
      <c r="AF76" s="12">
        <v>0</v>
      </c>
    </row>
    <row r="77" spans="1:32" ht="15.5" customHeight="1" x14ac:dyDescent="0.3">
      <c r="A77" s="12" t="s">
        <v>56</v>
      </c>
      <c r="B77" s="12">
        <v>2</v>
      </c>
      <c r="C77" s="12" t="s">
        <v>48</v>
      </c>
      <c r="D77" s="12">
        <v>16</v>
      </c>
      <c r="E77" s="12">
        <v>0</v>
      </c>
      <c r="F77" s="12">
        <v>0</v>
      </c>
      <c r="G77" s="12">
        <v>0</v>
      </c>
      <c r="H77" s="12">
        <v>18</v>
      </c>
      <c r="I77" s="12">
        <v>0</v>
      </c>
      <c r="J77" s="12">
        <v>2</v>
      </c>
      <c r="K77" s="12">
        <v>0</v>
      </c>
      <c r="L77" s="12">
        <v>30</v>
      </c>
      <c r="M77" s="12">
        <v>0</v>
      </c>
      <c r="N77" s="12">
        <v>18</v>
      </c>
      <c r="O77" s="12">
        <v>25</v>
      </c>
      <c r="P77" s="12">
        <v>6</v>
      </c>
      <c r="Q77" s="12">
        <v>0</v>
      </c>
      <c r="R77" s="12">
        <v>4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1">
        <f t="shared" si="1"/>
        <v>103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</row>
    <row r="78" spans="1:32" ht="15.5" customHeight="1" x14ac:dyDescent="0.3">
      <c r="A78" s="12" t="s">
        <v>53</v>
      </c>
      <c r="B78" s="12">
        <v>2</v>
      </c>
      <c r="C78" s="12" t="s">
        <v>48</v>
      </c>
      <c r="D78" s="12">
        <v>17</v>
      </c>
      <c r="E78" s="12">
        <v>0</v>
      </c>
      <c r="F78" s="12">
        <v>0</v>
      </c>
      <c r="G78" s="12">
        <v>0</v>
      </c>
      <c r="H78" s="12">
        <v>24</v>
      </c>
      <c r="I78" s="12">
        <v>30</v>
      </c>
      <c r="J78" s="12">
        <v>2</v>
      </c>
      <c r="K78" s="12">
        <v>0</v>
      </c>
      <c r="L78" s="12">
        <v>2</v>
      </c>
      <c r="M78" s="12">
        <v>30</v>
      </c>
      <c r="N78" s="12">
        <v>0</v>
      </c>
      <c r="O78" s="12">
        <v>0</v>
      </c>
      <c r="P78" s="12">
        <v>0</v>
      </c>
      <c r="Q78" s="12">
        <v>0</v>
      </c>
      <c r="R78" s="12">
        <v>2</v>
      </c>
      <c r="S78" s="12">
        <v>0</v>
      </c>
      <c r="T78" s="12">
        <v>3</v>
      </c>
      <c r="U78" s="12">
        <v>0</v>
      </c>
      <c r="V78" s="12">
        <v>0</v>
      </c>
      <c r="W78" s="12">
        <v>0</v>
      </c>
      <c r="X78" s="12">
        <v>40</v>
      </c>
      <c r="Y78" s="11">
        <f t="shared" si="1"/>
        <v>133</v>
      </c>
      <c r="AA78" s="12">
        <v>0</v>
      </c>
      <c r="AB78" s="12">
        <v>4</v>
      </c>
      <c r="AC78" s="12">
        <v>0</v>
      </c>
      <c r="AD78" s="12">
        <v>0</v>
      </c>
      <c r="AE78" s="12">
        <v>0</v>
      </c>
      <c r="AF78" s="12">
        <v>0</v>
      </c>
    </row>
    <row r="79" spans="1:32" ht="15.5" customHeight="1" x14ac:dyDescent="0.3">
      <c r="A79" s="12" t="s">
        <v>57</v>
      </c>
      <c r="B79" s="12">
        <v>2</v>
      </c>
      <c r="C79" s="12" t="s">
        <v>48</v>
      </c>
      <c r="D79" s="12">
        <v>18</v>
      </c>
      <c r="E79" s="12">
        <v>0</v>
      </c>
      <c r="F79" s="12">
        <v>0</v>
      </c>
      <c r="G79" s="12">
        <v>0</v>
      </c>
      <c r="H79" s="12">
        <v>6</v>
      </c>
      <c r="I79" s="12">
        <v>0</v>
      </c>
      <c r="J79" s="12">
        <v>0</v>
      </c>
      <c r="K79" s="12">
        <v>0</v>
      </c>
      <c r="L79" s="12">
        <v>0</v>
      </c>
      <c r="M79" s="12">
        <v>20</v>
      </c>
      <c r="N79" s="12">
        <v>12</v>
      </c>
      <c r="O79" s="12">
        <v>15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40</v>
      </c>
      <c r="Y79" s="11">
        <f t="shared" si="1"/>
        <v>93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</row>
    <row r="80" spans="1:32" ht="15.5" customHeight="1" x14ac:dyDescent="0.3">
      <c r="A80" s="12" t="s">
        <v>57</v>
      </c>
      <c r="B80" s="12">
        <v>2</v>
      </c>
      <c r="C80" s="12" t="s">
        <v>48</v>
      </c>
      <c r="D80" s="12">
        <v>19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4</v>
      </c>
      <c r="O80" s="12">
        <v>0</v>
      </c>
      <c r="P80" s="12">
        <v>8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30</v>
      </c>
      <c r="X80" s="12">
        <v>50</v>
      </c>
      <c r="Y80" s="11">
        <f t="shared" si="1"/>
        <v>92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</row>
    <row r="81" spans="1:32" ht="15.5" customHeight="1" x14ac:dyDescent="0.3">
      <c r="A81" s="12" t="s">
        <v>58</v>
      </c>
      <c r="B81" s="12">
        <v>2</v>
      </c>
      <c r="C81" s="12" t="s">
        <v>48</v>
      </c>
      <c r="D81" s="12">
        <v>20</v>
      </c>
      <c r="E81" s="12">
        <v>0</v>
      </c>
      <c r="F81" s="12">
        <v>0</v>
      </c>
      <c r="G81" s="12">
        <v>0</v>
      </c>
      <c r="H81" s="12">
        <v>0</v>
      </c>
      <c r="I81" s="12">
        <v>1</v>
      </c>
      <c r="J81" s="12">
        <v>0</v>
      </c>
      <c r="K81" s="12">
        <v>0</v>
      </c>
      <c r="L81" s="12">
        <v>8</v>
      </c>
      <c r="M81" s="12">
        <v>0</v>
      </c>
      <c r="N81" s="12">
        <v>0.5</v>
      </c>
      <c r="O81" s="12">
        <v>0</v>
      </c>
      <c r="P81" s="12">
        <v>7</v>
      </c>
      <c r="Q81" s="12">
        <v>0</v>
      </c>
      <c r="R81" s="12">
        <v>0</v>
      </c>
      <c r="S81" s="12">
        <v>0</v>
      </c>
      <c r="T81" s="12">
        <v>4</v>
      </c>
      <c r="U81" s="12">
        <v>0</v>
      </c>
      <c r="V81" s="12">
        <v>0</v>
      </c>
      <c r="W81" s="12">
        <v>18</v>
      </c>
      <c r="X81" s="12">
        <v>60</v>
      </c>
      <c r="Y81" s="11">
        <f t="shared" si="1"/>
        <v>98.5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</row>
    <row r="82" spans="1:32" ht="15.5" customHeight="1" x14ac:dyDescent="0.3">
      <c r="A82" s="12" t="s">
        <v>56</v>
      </c>
      <c r="B82" s="12">
        <v>2</v>
      </c>
      <c r="C82" s="12" t="s">
        <v>48</v>
      </c>
      <c r="D82" s="12">
        <v>21</v>
      </c>
      <c r="E82" s="12">
        <v>0</v>
      </c>
      <c r="F82" s="12">
        <v>20</v>
      </c>
      <c r="G82" s="12">
        <v>0</v>
      </c>
      <c r="H82" s="12">
        <v>12</v>
      </c>
      <c r="I82" s="12">
        <v>0</v>
      </c>
      <c r="J82" s="12">
        <v>2</v>
      </c>
      <c r="K82" s="12">
        <v>0</v>
      </c>
      <c r="L82" s="12">
        <v>62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5</v>
      </c>
      <c r="U82" s="12">
        <v>0</v>
      </c>
      <c r="V82" s="12">
        <v>0</v>
      </c>
      <c r="W82" s="12">
        <v>2</v>
      </c>
      <c r="X82" s="12">
        <v>0</v>
      </c>
      <c r="Y82" s="11">
        <f t="shared" si="1"/>
        <v>103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10</v>
      </c>
    </row>
    <row r="83" spans="1:32" ht="15.5" customHeight="1" x14ac:dyDescent="0.3">
      <c r="A83" s="12" t="s">
        <v>59</v>
      </c>
      <c r="B83" s="12">
        <v>2</v>
      </c>
      <c r="C83" s="12" t="s">
        <v>48</v>
      </c>
      <c r="D83" s="12">
        <v>22</v>
      </c>
      <c r="E83" s="12">
        <v>0</v>
      </c>
      <c r="F83" s="12">
        <v>8</v>
      </c>
      <c r="G83" s="12">
        <v>0</v>
      </c>
      <c r="H83" s="12">
        <v>15</v>
      </c>
      <c r="I83" s="12">
        <v>20</v>
      </c>
      <c r="J83" s="12">
        <v>0</v>
      </c>
      <c r="K83" s="12">
        <v>0</v>
      </c>
      <c r="L83" s="12">
        <v>5</v>
      </c>
      <c r="M83" s="12">
        <v>0</v>
      </c>
      <c r="N83" s="12">
        <v>6</v>
      </c>
      <c r="O83" s="12">
        <v>10</v>
      </c>
      <c r="P83" s="12">
        <v>8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30</v>
      </c>
      <c r="Y83" s="11">
        <f t="shared" si="1"/>
        <v>102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</row>
    <row r="84" spans="1:32" ht="15.5" customHeight="1" x14ac:dyDescent="0.3">
      <c r="A84" s="12" t="s">
        <v>59</v>
      </c>
      <c r="B84" s="12">
        <v>2</v>
      </c>
      <c r="C84" s="12" t="s">
        <v>48</v>
      </c>
      <c r="D84" s="12">
        <v>23</v>
      </c>
      <c r="E84" s="12">
        <v>15</v>
      </c>
      <c r="F84" s="12">
        <v>20</v>
      </c>
      <c r="G84" s="12">
        <v>0</v>
      </c>
      <c r="H84" s="12">
        <v>10</v>
      </c>
      <c r="I84" s="12">
        <v>20</v>
      </c>
      <c r="J84" s="12">
        <v>0</v>
      </c>
      <c r="K84" s="12">
        <v>0</v>
      </c>
      <c r="L84" s="12">
        <v>10</v>
      </c>
      <c r="M84" s="12">
        <v>10</v>
      </c>
      <c r="N84" s="12">
        <v>4</v>
      </c>
      <c r="O84" s="12">
        <v>15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1">
        <f t="shared" si="1"/>
        <v>104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5</v>
      </c>
    </row>
    <row r="85" spans="1:32" ht="15.5" customHeight="1" x14ac:dyDescent="0.3">
      <c r="A85" s="12" t="s">
        <v>58</v>
      </c>
      <c r="B85" s="12">
        <v>2</v>
      </c>
      <c r="C85" s="12" t="s">
        <v>48</v>
      </c>
      <c r="D85" s="12">
        <v>24</v>
      </c>
      <c r="E85" s="12">
        <v>0</v>
      </c>
      <c r="F85" s="12">
        <v>2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3</v>
      </c>
      <c r="M85" s="12">
        <v>0</v>
      </c>
      <c r="N85" s="12">
        <v>1</v>
      </c>
      <c r="O85" s="12">
        <v>0</v>
      </c>
      <c r="P85" s="12">
        <v>8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83</v>
      </c>
      <c r="Y85" s="11">
        <f t="shared" si="1"/>
        <v>97</v>
      </c>
      <c r="AA85" s="12">
        <v>0</v>
      </c>
      <c r="AB85" s="12">
        <v>0</v>
      </c>
      <c r="AC85" s="12">
        <v>0</v>
      </c>
      <c r="AD85" s="12">
        <v>1</v>
      </c>
      <c r="AE85" s="12">
        <v>0</v>
      </c>
      <c r="AF85" s="12">
        <v>0</v>
      </c>
    </row>
    <row r="86" spans="1:32" ht="15.5" customHeight="1" x14ac:dyDescent="0.3">
      <c r="A86" s="12" t="s">
        <v>60</v>
      </c>
      <c r="B86" s="12">
        <v>2</v>
      </c>
      <c r="C86" s="12" t="s">
        <v>48</v>
      </c>
      <c r="D86" s="12">
        <v>25</v>
      </c>
      <c r="E86" s="12">
        <v>0</v>
      </c>
      <c r="F86" s="12">
        <v>0</v>
      </c>
      <c r="G86" s="12">
        <v>0</v>
      </c>
      <c r="H86" s="12">
        <v>20</v>
      </c>
      <c r="I86" s="12">
        <v>20</v>
      </c>
      <c r="J86" s="12">
        <v>0</v>
      </c>
      <c r="K86" s="12">
        <v>0</v>
      </c>
      <c r="L86" s="12">
        <v>10</v>
      </c>
      <c r="M86" s="12">
        <v>0</v>
      </c>
      <c r="N86" s="12">
        <v>1</v>
      </c>
      <c r="O86" s="12">
        <v>16</v>
      </c>
      <c r="P86" s="12">
        <v>6</v>
      </c>
      <c r="Q86" s="12">
        <v>0</v>
      </c>
      <c r="R86" s="12">
        <v>6</v>
      </c>
      <c r="S86" s="12">
        <v>0</v>
      </c>
      <c r="T86" s="12">
        <v>10</v>
      </c>
      <c r="U86" s="12">
        <v>0</v>
      </c>
      <c r="V86" s="12">
        <v>0</v>
      </c>
      <c r="W86" s="12">
        <v>1</v>
      </c>
      <c r="X86" s="12">
        <v>10</v>
      </c>
      <c r="Y86" s="11">
        <f t="shared" si="1"/>
        <v>100</v>
      </c>
      <c r="AA86" s="12">
        <v>4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</row>
    <row r="87" spans="1:32" ht="15.5" customHeight="1" x14ac:dyDescent="0.3">
      <c r="A87" s="12" t="s">
        <v>61</v>
      </c>
      <c r="B87" s="12">
        <v>2</v>
      </c>
      <c r="C87" s="12" t="s">
        <v>48</v>
      </c>
      <c r="D87" s="12">
        <v>26</v>
      </c>
      <c r="E87" s="12">
        <v>2</v>
      </c>
      <c r="F87" s="12">
        <v>3</v>
      </c>
      <c r="G87" s="12">
        <v>0</v>
      </c>
      <c r="H87" s="12">
        <v>0</v>
      </c>
      <c r="I87" s="12">
        <v>15</v>
      </c>
      <c r="J87" s="12">
        <v>15</v>
      </c>
      <c r="K87" s="12">
        <v>0</v>
      </c>
      <c r="L87" s="12">
        <v>30</v>
      </c>
      <c r="M87" s="12">
        <v>0</v>
      </c>
      <c r="N87" s="12">
        <v>20</v>
      </c>
      <c r="O87" s="12">
        <v>0</v>
      </c>
      <c r="P87" s="12">
        <v>0</v>
      </c>
      <c r="Q87" s="12">
        <v>0</v>
      </c>
      <c r="R87" s="12">
        <v>20</v>
      </c>
      <c r="S87" s="12">
        <v>0</v>
      </c>
      <c r="T87" s="12">
        <v>10</v>
      </c>
      <c r="U87" s="12">
        <v>0</v>
      </c>
      <c r="V87" s="12">
        <v>0</v>
      </c>
      <c r="W87" s="12">
        <v>0</v>
      </c>
      <c r="X87" s="12">
        <v>40</v>
      </c>
      <c r="Y87" s="11">
        <f t="shared" si="1"/>
        <v>155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</row>
    <row r="88" spans="1:32" ht="15.5" customHeight="1" x14ac:dyDescent="0.3">
      <c r="A88" s="12" t="s">
        <v>62</v>
      </c>
      <c r="B88" s="12">
        <v>2</v>
      </c>
      <c r="C88" s="12" t="s">
        <v>48</v>
      </c>
      <c r="D88" s="12">
        <v>27</v>
      </c>
      <c r="E88" s="12">
        <v>4</v>
      </c>
      <c r="F88" s="12">
        <v>3</v>
      </c>
      <c r="G88" s="12">
        <v>0</v>
      </c>
      <c r="H88" s="12">
        <v>20</v>
      </c>
      <c r="I88" s="12">
        <v>10</v>
      </c>
      <c r="J88" s="12">
        <v>15</v>
      </c>
      <c r="K88" s="12">
        <v>0</v>
      </c>
      <c r="L88" s="12">
        <v>8</v>
      </c>
      <c r="M88" s="12">
        <v>6</v>
      </c>
      <c r="N88" s="12">
        <v>15</v>
      </c>
      <c r="O88" s="12">
        <v>0</v>
      </c>
      <c r="P88" s="12">
        <v>0</v>
      </c>
      <c r="Q88" s="12">
        <v>1</v>
      </c>
      <c r="R88" s="12">
        <v>10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20</v>
      </c>
      <c r="Y88" s="11">
        <f t="shared" si="1"/>
        <v>112</v>
      </c>
      <c r="AA88" s="12">
        <v>0</v>
      </c>
      <c r="AB88" s="12">
        <v>4</v>
      </c>
      <c r="AC88" s="12">
        <v>0</v>
      </c>
      <c r="AD88" s="12">
        <v>0</v>
      </c>
      <c r="AE88" s="12">
        <v>0</v>
      </c>
      <c r="AF88" s="12">
        <v>0</v>
      </c>
    </row>
    <row r="89" spans="1:32" ht="15.5" customHeight="1" x14ac:dyDescent="0.3">
      <c r="A89" s="12" t="s">
        <v>62</v>
      </c>
      <c r="B89" s="12">
        <v>2</v>
      </c>
      <c r="C89" s="12" t="s">
        <v>48</v>
      </c>
      <c r="D89" s="12">
        <v>28</v>
      </c>
      <c r="E89" s="12">
        <v>2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10</v>
      </c>
      <c r="M89" s="12">
        <v>0</v>
      </c>
      <c r="N89" s="12">
        <v>1</v>
      </c>
      <c r="O89" s="12">
        <v>15</v>
      </c>
      <c r="P89" s="12">
        <v>0</v>
      </c>
      <c r="Q89" s="12">
        <v>0</v>
      </c>
      <c r="R89" s="12">
        <v>8</v>
      </c>
      <c r="S89" s="12">
        <v>0</v>
      </c>
      <c r="T89" s="12">
        <v>10</v>
      </c>
      <c r="U89" s="12">
        <v>0</v>
      </c>
      <c r="V89" s="12">
        <v>0</v>
      </c>
      <c r="W89" s="12">
        <v>0</v>
      </c>
      <c r="X89" s="12">
        <v>60</v>
      </c>
      <c r="Y89" s="11">
        <f t="shared" si="1"/>
        <v>106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</row>
    <row r="90" spans="1:32" ht="15.5" customHeight="1" x14ac:dyDescent="0.3">
      <c r="A90" s="12" t="s">
        <v>49</v>
      </c>
      <c r="B90" s="12">
        <v>2</v>
      </c>
      <c r="C90" s="12" t="s">
        <v>48</v>
      </c>
      <c r="D90" s="12">
        <v>29</v>
      </c>
      <c r="E90" s="12">
        <v>0</v>
      </c>
      <c r="F90" s="12">
        <v>2</v>
      </c>
      <c r="G90" s="12">
        <v>0</v>
      </c>
      <c r="H90" s="12">
        <v>0</v>
      </c>
      <c r="I90" s="12">
        <v>0</v>
      </c>
      <c r="J90" s="12">
        <v>2</v>
      </c>
      <c r="K90" s="12">
        <v>0</v>
      </c>
      <c r="L90" s="12">
        <v>8</v>
      </c>
      <c r="M90" s="12">
        <v>5</v>
      </c>
      <c r="N90" s="12">
        <v>0.5</v>
      </c>
      <c r="O90" s="12">
        <v>0</v>
      </c>
      <c r="P90" s="12">
        <v>1</v>
      </c>
      <c r="Q90" s="12">
        <v>0</v>
      </c>
      <c r="R90" s="12">
        <v>4</v>
      </c>
      <c r="S90" s="12">
        <v>0</v>
      </c>
      <c r="T90" s="12">
        <v>0</v>
      </c>
      <c r="U90" s="12">
        <v>0</v>
      </c>
      <c r="V90" s="12">
        <v>0</v>
      </c>
      <c r="W90" s="12">
        <v>3</v>
      </c>
      <c r="X90" s="12">
        <v>70</v>
      </c>
      <c r="Y90" s="11">
        <f t="shared" si="1"/>
        <v>95.5</v>
      </c>
      <c r="AA90" s="12">
        <v>0</v>
      </c>
      <c r="AB90" s="12">
        <v>0</v>
      </c>
      <c r="AC90" s="12">
        <v>0</v>
      </c>
      <c r="AD90" s="12">
        <v>1</v>
      </c>
      <c r="AE90" s="12">
        <v>1</v>
      </c>
      <c r="AF90" s="12">
        <v>0</v>
      </c>
    </row>
    <row r="91" spans="1:32" ht="15.5" customHeight="1" x14ac:dyDescent="0.3">
      <c r="A91" s="12" t="s">
        <v>63</v>
      </c>
      <c r="B91" s="12">
        <v>2</v>
      </c>
      <c r="C91" s="12" t="s">
        <v>48</v>
      </c>
      <c r="D91" s="12">
        <v>30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6</v>
      </c>
      <c r="Q91" s="12">
        <v>0</v>
      </c>
      <c r="R91" s="12">
        <v>0</v>
      </c>
      <c r="S91" s="12">
        <v>0</v>
      </c>
      <c r="T91" s="12">
        <v>1</v>
      </c>
      <c r="U91" s="12">
        <v>0</v>
      </c>
      <c r="V91" s="12">
        <v>0</v>
      </c>
      <c r="W91" s="12">
        <v>10</v>
      </c>
      <c r="X91" s="12">
        <v>75</v>
      </c>
      <c r="Y91" s="11">
        <f t="shared" si="1"/>
        <v>92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B9FC-8441-4305-A5CB-6D8B29F635E3}">
  <dimension ref="A1:E11"/>
  <sheetViews>
    <sheetView workbookViewId="0">
      <selection activeCell="G8" sqref="G8"/>
    </sheetView>
  </sheetViews>
  <sheetFormatPr defaultRowHeight="15.5" x14ac:dyDescent="0.35"/>
  <cols>
    <col min="1" max="1" width="11.33203125" customWidth="1"/>
    <col min="2" max="2" width="9.5" bestFit="1" customWidth="1"/>
    <col min="3" max="3" width="12.9140625" bestFit="1" customWidth="1"/>
    <col min="4" max="4" width="13.25" bestFit="1" customWidth="1"/>
    <col min="5" max="5" width="5" bestFit="1" customWidth="1"/>
  </cols>
  <sheetData>
    <row r="1" spans="1:5" x14ac:dyDescent="0.35">
      <c r="A1" s="12" t="s">
        <v>70</v>
      </c>
      <c r="B1" s="12"/>
      <c r="C1" s="12"/>
      <c r="D1" s="12"/>
      <c r="E1" s="12"/>
    </row>
    <row r="2" spans="1:5" x14ac:dyDescent="0.35">
      <c r="A2" s="12"/>
      <c r="B2" s="12"/>
      <c r="C2" s="10" t="s">
        <v>71</v>
      </c>
      <c r="D2" s="10" t="s">
        <v>72</v>
      </c>
      <c r="E2" s="10" t="s">
        <v>73</v>
      </c>
    </row>
    <row r="3" spans="1:5" x14ac:dyDescent="0.35">
      <c r="A3" s="12" t="s">
        <v>65</v>
      </c>
      <c r="B3" s="12" t="s">
        <v>68</v>
      </c>
      <c r="C3" s="15">
        <v>45.069000000000003</v>
      </c>
      <c r="D3" s="15">
        <v>13.6335</v>
      </c>
      <c r="E3" s="7" t="s">
        <v>74</v>
      </c>
    </row>
    <row r="4" spans="1:5" x14ac:dyDescent="0.35">
      <c r="A4" s="12" t="s">
        <v>67</v>
      </c>
      <c r="B4" s="12" t="s">
        <v>64</v>
      </c>
      <c r="C4" s="14">
        <v>45.063200000000002</v>
      </c>
      <c r="D4" s="14">
        <v>13.6592</v>
      </c>
      <c r="E4" s="7" t="s">
        <v>74</v>
      </c>
    </row>
    <row r="5" spans="1:5" x14ac:dyDescent="0.35">
      <c r="A5" s="12" t="s">
        <v>69</v>
      </c>
      <c r="B5" s="12" t="s">
        <v>66</v>
      </c>
      <c r="C5" s="15">
        <v>45.104759999999999</v>
      </c>
      <c r="D5" s="12">
        <v>13.615665</v>
      </c>
      <c r="E5" s="7" t="s">
        <v>74</v>
      </c>
    </row>
    <row r="8" spans="1:5" x14ac:dyDescent="0.35">
      <c r="A8" s="4"/>
      <c r="B8" s="4"/>
      <c r="E8" s="2"/>
    </row>
    <row r="9" spans="1:5" x14ac:dyDescent="0.35">
      <c r="A9" s="1"/>
      <c r="B9" s="1"/>
      <c r="C9" s="5"/>
      <c r="D9" s="5"/>
      <c r="E9" s="3"/>
    </row>
    <row r="10" spans="1:5" x14ac:dyDescent="0.35">
      <c r="A10" s="6"/>
      <c r="B10" s="6"/>
      <c r="C10" s="6"/>
      <c r="D10" s="6"/>
      <c r="E10" s="3"/>
    </row>
    <row r="11" spans="1:5" x14ac:dyDescent="0.35">
      <c r="A11" s="6"/>
      <c r="B11" s="6"/>
      <c r="C11" s="5"/>
      <c r="D11" s="6"/>
      <c r="E11" s="3"/>
    </row>
  </sheetData>
  <conditionalFormatting sqref="C3:D3">
    <cfRule type="notContainsBlanks" dxfId="2" priority="2">
      <formula>LEN(TRIM(C3))&gt;0</formula>
    </cfRule>
  </conditionalFormatting>
  <conditionalFormatting sqref="C5:D5">
    <cfRule type="notContainsBlanks" dxfId="1" priority="1">
      <formula>LEN(TRIM(C5))&gt;0</formula>
    </cfRule>
  </conditionalFormatting>
  <conditionalFormatting sqref="C9:D11">
    <cfRule type="notContainsBlanks" dxfId="0" priority="3">
      <formula>LEN(TRIM(C9))&gt;0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Foglio1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Barbara Mikac</cp:lastModifiedBy>
  <dcterms:created xsi:type="dcterms:W3CDTF">2023-06-07T10:29:18Z</dcterms:created>
  <dcterms:modified xsi:type="dcterms:W3CDTF">2025-06-15T19:46:57Z</dcterms:modified>
</cp:coreProperties>
</file>